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jabbar\Desktop\"/>
    </mc:Choice>
  </mc:AlternateContent>
  <xr:revisionPtr revIDLastSave="0" documentId="13_ncr:1_{89E9BABF-E724-4201-9129-0CE613A57F6E}" xr6:coauthVersionLast="47" xr6:coauthVersionMax="47" xr10:uidLastSave="{00000000-0000-0000-0000-000000000000}"/>
  <bookViews>
    <workbookView xWindow="-120" yWindow="-120" windowWidth="38640" windowHeight="21240" xr2:uid="{AE48B8E3-4B5F-4ED1-B8ED-6D13C3147C58}"/>
  </bookViews>
  <sheets>
    <sheet name="Overall" sheetId="1" r:id="rId1"/>
    <sheet name="Approach (d)" sheetId="2" r:id="rId2"/>
  </sheets>
  <definedNames>
    <definedName name="_xlnm._FilterDatabase" localSheetId="0" hidden="1">Overall!$A$1:$K$176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2" l="1"/>
  <c r="E32" i="2"/>
  <c r="L32" i="2"/>
  <c r="M32" i="2"/>
  <c r="K32" i="2"/>
  <c r="J32" i="2"/>
  <c r="I32" i="2"/>
  <c r="H32" i="2"/>
  <c r="G32" i="2"/>
  <c r="F32" i="2"/>
  <c r="D32" i="2"/>
  <c r="B32" i="2"/>
  <c r="B8" i="1"/>
  <c r="B13" i="1" s="1"/>
  <c r="B18" i="1" s="1"/>
  <c r="B23" i="1" s="1"/>
  <c r="B28" i="1" s="1"/>
  <c r="B33" i="1" s="1"/>
  <c r="B38" i="1" s="1"/>
  <c r="B43" i="1" s="1"/>
  <c r="B48" i="1" s="1"/>
  <c r="B53" i="1" s="1"/>
  <c r="B58" i="1" s="1"/>
  <c r="B63" i="1" s="1"/>
  <c r="B68" i="1" s="1"/>
  <c r="B73" i="1" s="1"/>
  <c r="B78" i="1" s="1"/>
  <c r="B83" i="1" s="1"/>
  <c r="B88" i="1" s="1"/>
  <c r="B93" i="1" s="1"/>
  <c r="B98" i="1" s="1"/>
  <c r="B103" i="1" s="1"/>
  <c r="B108" i="1" s="1"/>
  <c r="B113" i="1" s="1"/>
  <c r="B118" i="1" s="1"/>
  <c r="B123" i="1" s="1"/>
  <c r="B128" i="1" s="1"/>
  <c r="B133" i="1" s="1"/>
  <c r="B138" i="1" s="1"/>
  <c r="B143" i="1" s="1"/>
  <c r="B148" i="1" s="1"/>
  <c r="B153" i="1" s="1"/>
  <c r="B158" i="1" s="1"/>
  <c r="B163" i="1" s="1"/>
  <c r="B168" i="1" s="1"/>
  <c r="B173" i="1" s="1"/>
  <c r="B9" i="1"/>
  <c r="B14" i="1" s="1"/>
  <c r="B19" i="1" s="1"/>
  <c r="B24" i="1" s="1"/>
  <c r="B29" i="1" s="1"/>
  <c r="B34" i="1" s="1"/>
  <c r="B39" i="1" s="1"/>
  <c r="B44" i="1" s="1"/>
  <c r="B49" i="1" s="1"/>
  <c r="B54" i="1" s="1"/>
  <c r="B59" i="1" s="1"/>
  <c r="B64" i="1" s="1"/>
  <c r="B69" i="1" s="1"/>
  <c r="B74" i="1" s="1"/>
  <c r="B79" i="1" s="1"/>
  <c r="B84" i="1" s="1"/>
  <c r="B89" i="1" s="1"/>
  <c r="B94" i="1" s="1"/>
  <c r="B99" i="1" s="1"/>
  <c r="B104" i="1" s="1"/>
  <c r="B109" i="1" s="1"/>
  <c r="B114" i="1" s="1"/>
  <c r="B119" i="1" s="1"/>
  <c r="B124" i="1" s="1"/>
  <c r="B129" i="1" s="1"/>
  <c r="B134" i="1" s="1"/>
  <c r="B139" i="1" s="1"/>
  <c r="B144" i="1" s="1"/>
  <c r="B149" i="1" s="1"/>
  <c r="B154" i="1" s="1"/>
  <c r="B159" i="1" s="1"/>
  <c r="B164" i="1" s="1"/>
  <c r="B169" i="1" s="1"/>
  <c r="B174" i="1" s="1"/>
  <c r="B10" i="1"/>
  <c r="B15" i="1" s="1"/>
  <c r="B20" i="1" s="1"/>
  <c r="B25" i="1" s="1"/>
  <c r="B30" i="1" s="1"/>
  <c r="B35" i="1" s="1"/>
  <c r="B40" i="1" s="1"/>
  <c r="B45" i="1" s="1"/>
  <c r="B50" i="1" s="1"/>
  <c r="B55" i="1" s="1"/>
  <c r="B60" i="1" s="1"/>
  <c r="B65" i="1" s="1"/>
  <c r="B70" i="1" s="1"/>
  <c r="B75" i="1" s="1"/>
  <c r="B80" i="1" s="1"/>
  <c r="B85" i="1" s="1"/>
  <c r="B90" i="1" s="1"/>
  <c r="B95" i="1" s="1"/>
  <c r="B100" i="1" s="1"/>
  <c r="B105" i="1" s="1"/>
  <c r="B110" i="1" s="1"/>
  <c r="B115" i="1" s="1"/>
  <c r="B120" i="1" s="1"/>
  <c r="B125" i="1" s="1"/>
  <c r="B130" i="1" s="1"/>
  <c r="B135" i="1" s="1"/>
  <c r="B140" i="1" s="1"/>
  <c r="B145" i="1" s="1"/>
  <c r="B150" i="1" s="1"/>
  <c r="B155" i="1" s="1"/>
  <c r="B160" i="1" s="1"/>
  <c r="B165" i="1" s="1"/>
  <c r="B170" i="1" s="1"/>
  <c r="B175" i="1" s="1"/>
  <c r="B11" i="1"/>
  <c r="B16" i="1" s="1"/>
  <c r="B21" i="1" s="1"/>
  <c r="B26" i="1" s="1"/>
  <c r="B31" i="1" s="1"/>
  <c r="B36" i="1" s="1"/>
  <c r="B41" i="1" s="1"/>
  <c r="B46" i="1" s="1"/>
  <c r="B51" i="1" s="1"/>
  <c r="B56" i="1" s="1"/>
  <c r="B61" i="1" s="1"/>
  <c r="B66" i="1" s="1"/>
  <c r="B71" i="1" s="1"/>
  <c r="B76" i="1" s="1"/>
  <c r="B81" i="1" s="1"/>
  <c r="B86" i="1" s="1"/>
  <c r="B91" i="1" s="1"/>
  <c r="B96" i="1" s="1"/>
  <c r="B101" i="1" s="1"/>
  <c r="B106" i="1" s="1"/>
  <c r="B111" i="1" s="1"/>
  <c r="B116" i="1" s="1"/>
  <c r="B121" i="1" s="1"/>
  <c r="B126" i="1" s="1"/>
  <c r="B131" i="1" s="1"/>
  <c r="B136" i="1" s="1"/>
  <c r="B141" i="1" s="1"/>
  <c r="B146" i="1" s="1"/>
  <c r="B151" i="1" s="1"/>
  <c r="B156" i="1" s="1"/>
  <c r="B161" i="1" s="1"/>
  <c r="B166" i="1" s="1"/>
  <c r="B171" i="1" s="1"/>
  <c r="B176" i="1" s="1"/>
  <c r="B7" i="1"/>
  <c r="B12" i="1" s="1"/>
  <c r="B17" i="1" s="1"/>
  <c r="B22" i="1" s="1"/>
  <c r="B27" i="1" s="1"/>
  <c r="B32" i="1" s="1"/>
  <c r="B37" i="1" s="1"/>
  <c r="B42" i="1" s="1"/>
  <c r="B47" i="1" s="1"/>
  <c r="B52" i="1" s="1"/>
  <c r="B57" i="1" s="1"/>
  <c r="B62" i="1" s="1"/>
  <c r="B67" i="1" s="1"/>
  <c r="B72" i="1" s="1"/>
  <c r="B77" i="1" s="1"/>
  <c r="B82" i="1" s="1"/>
  <c r="B87" i="1" s="1"/>
  <c r="B92" i="1" s="1"/>
  <c r="B97" i="1" s="1"/>
  <c r="B102" i="1" s="1"/>
  <c r="B107" i="1" s="1"/>
  <c r="B112" i="1" s="1"/>
  <c r="B117" i="1" s="1"/>
  <c r="B122" i="1" s="1"/>
  <c r="B127" i="1" s="1"/>
  <c r="B132" i="1" s="1"/>
  <c r="B137" i="1" s="1"/>
  <c r="B142" i="1" s="1"/>
  <c r="B147" i="1" s="1"/>
  <c r="B152" i="1" s="1"/>
  <c r="B157" i="1" s="1"/>
  <c r="B162" i="1" s="1"/>
  <c r="B167" i="1" s="1"/>
  <c r="B172" i="1" s="1"/>
  <c r="A8" i="1"/>
  <c r="A13" i="1" s="1"/>
  <c r="A18" i="1" s="1"/>
  <c r="A23" i="1" s="1"/>
  <c r="A28" i="1" s="1"/>
  <c r="A33" i="1" s="1"/>
  <c r="A38" i="1" s="1"/>
  <c r="A43" i="1" s="1"/>
  <c r="A48" i="1" s="1"/>
  <c r="A53" i="1" s="1"/>
  <c r="A58" i="1" s="1"/>
  <c r="A63" i="1" s="1"/>
  <c r="A68" i="1" s="1"/>
  <c r="A73" i="1" s="1"/>
  <c r="A78" i="1" s="1"/>
  <c r="A83" i="1" s="1"/>
  <c r="A88" i="1" s="1"/>
  <c r="A93" i="1" s="1"/>
  <c r="A98" i="1" s="1"/>
  <c r="A103" i="1" s="1"/>
  <c r="A108" i="1" s="1"/>
  <c r="A113" i="1" s="1"/>
  <c r="A118" i="1" s="1"/>
  <c r="A123" i="1" s="1"/>
  <c r="A128" i="1" s="1"/>
  <c r="A133" i="1" s="1"/>
  <c r="A138" i="1" s="1"/>
  <c r="A143" i="1" s="1"/>
  <c r="A148" i="1" s="1"/>
  <c r="A153" i="1" s="1"/>
  <c r="A158" i="1" s="1"/>
  <c r="A163" i="1" s="1"/>
  <c r="A168" i="1" s="1"/>
  <c r="A173" i="1" s="1"/>
  <c r="A9" i="1"/>
  <c r="A14" i="1" s="1"/>
  <c r="A19" i="1" s="1"/>
  <c r="A24" i="1" s="1"/>
  <c r="A29" i="1" s="1"/>
  <c r="A34" i="1" s="1"/>
  <c r="A39" i="1" s="1"/>
  <c r="A44" i="1" s="1"/>
  <c r="A49" i="1" s="1"/>
  <c r="A54" i="1" s="1"/>
  <c r="A59" i="1" s="1"/>
  <c r="A64" i="1" s="1"/>
  <c r="A69" i="1" s="1"/>
  <c r="A74" i="1" s="1"/>
  <c r="A79" i="1" s="1"/>
  <c r="A84" i="1" s="1"/>
  <c r="A89" i="1" s="1"/>
  <c r="A94" i="1" s="1"/>
  <c r="A99" i="1" s="1"/>
  <c r="A104" i="1" s="1"/>
  <c r="A109" i="1" s="1"/>
  <c r="A114" i="1" s="1"/>
  <c r="A119" i="1" s="1"/>
  <c r="A124" i="1" s="1"/>
  <c r="A129" i="1" s="1"/>
  <c r="A134" i="1" s="1"/>
  <c r="A139" i="1" s="1"/>
  <c r="A144" i="1" s="1"/>
  <c r="A149" i="1" s="1"/>
  <c r="A154" i="1" s="1"/>
  <c r="A159" i="1" s="1"/>
  <c r="A164" i="1" s="1"/>
  <c r="A169" i="1" s="1"/>
  <c r="A174" i="1" s="1"/>
  <c r="A10" i="1"/>
  <c r="A15" i="1" s="1"/>
  <c r="A20" i="1" s="1"/>
  <c r="A25" i="1" s="1"/>
  <c r="A30" i="1" s="1"/>
  <c r="A35" i="1" s="1"/>
  <c r="A40" i="1" s="1"/>
  <c r="A45" i="1" s="1"/>
  <c r="A50" i="1" s="1"/>
  <c r="A55" i="1" s="1"/>
  <c r="A60" i="1" s="1"/>
  <c r="A65" i="1" s="1"/>
  <c r="A70" i="1" s="1"/>
  <c r="A75" i="1" s="1"/>
  <c r="A80" i="1" s="1"/>
  <c r="A85" i="1" s="1"/>
  <c r="A90" i="1" s="1"/>
  <c r="A95" i="1" s="1"/>
  <c r="A100" i="1" s="1"/>
  <c r="A105" i="1" s="1"/>
  <c r="A110" i="1" s="1"/>
  <c r="A115" i="1" s="1"/>
  <c r="A120" i="1" s="1"/>
  <c r="A125" i="1" s="1"/>
  <c r="A130" i="1" s="1"/>
  <c r="A135" i="1" s="1"/>
  <c r="A140" i="1" s="1"/>
  <c r="A145" i="1" s="1"/>
  <c r="A150" i="1" s="1"/>
  <c r="A155" i="1" s="1"/>
  <c r="A160" i="1" s="1"/>
  <c r="A165" i="1" s="1"/>
  <c r="A170" i="1" s="1"/>
  <c r="A175" i="1" s="1"/>
  <c r="A11" i="1"/>
  <c r="A16" i="1" s="1"/>
  <c r="A21" i="1" s="1"/>
  <c r="A26" i="1" s="1"/>
  <c r="A31" i="1" s="1"/>
  <c r="A36" i="1" s="1"/>
  <c r="A41" i="1" s="1"/>
  <c r="A46" i="1" s="1"/>
  <c r="A51" i="1" s="1"/>
  <c r="A56" i="1" s="1"/>
  <c r="A61" i="1" s="1"/>
  <c r="A66" i="1" s="1"/>
  <c r="A71" i="1" s="1"/>
  <c r="A76" i="1" s="1"/>
  <c r="A81" i="1" s="1"/>
  <c r="A86" i="1" s="1"/>
  <c r="A91" i="1" s="1"/>
  <c r="A96" i="1" s="1"/>
  <c r="A101" i="1" s="1"/>
  <c r="A106" i="1" s="1"/>
  <c r="A111" i="1" s="1"/>
  <c r="A116" i="1" s="1"/>
  <c r="A121" i="1" s="1"/>
  <c r="A126" i="1" s="1"/>
  <c r="A131" i="1" s="1"/>
  <c r="A136" i="1" s="1"/>
  <c r="A141" i="1" s="1"/>
  <c r="A146" i="1" s="1"/>
  <c r="A151" i="1" s="1"/>
  <c r="A156" i="1" s="1"/>
  <c r="A161" i="1" s="1"/>
  <c r="A166" i="1" s="1"/>
  <c r="A171" i="1" s="1"/>
  <c r="A176" i="1" s="1"/>
  <c r="A7" i="1"/>
  <c r="A12" i="1" s="1"/>
  <c r="A17" i="1" s="1"/>
  <c r="A22" i="1" s="1"/>
  <c r="A27" i="1" s="1"/>
  <c r="A32" i="1" s="1"/>
  <c r="A37" i="1" s="1"/>
  <c r="A42" i="1" s="1"/>
  <c r="A47" i="1" s="1"/>
  <c r="A52" i="1" s="1"/>
  <c r="A57" i="1" s="1"/>
  <c r="A62" i="1" s="1"/>
  <c r="A67" i="1" s="1"/>
  <c r="A72" i="1" s="1"/>
  <c r="A77" i="1" s="1"/>
  <c r="A82" i="1" s="1"/>
  <c r="A87" i="1" s="1"/>
  <c r="A92" i="1" s="1"/>
  <c r="A97" i="1" s="1"/>
  <c r="A102" i="1" s="1"/>
  <c r="A107" i="1" s="1"/>
  <c r="A112" i="1" s="1"/>
  <c r="A117" i="1" s="1"/>
  <c r="A122" i="1" s="1"/>
  <c r="A127" i="1" s="1"/>
  <c r="A132" i="1" s="1"/>
  <c r="A137" i="1" s="1"/>
  <c r="A142" i="1" s="1"/>
  <c r="A147" i="1" s="1"/>
  <c r="A152" i="1" s="1"/>
  <c r="A157" i="1" s="1"/>
  <c r="A162" i="1" s="1"/>
  <c r="A167" i="1" s="1"/>
  <c r="A172" i="1" s="1"/>
</calcChain>
</file>

<file path=xl/sharedStrings.xml><?xml version="1.0" encoding="utf-8"?>
<sst xmlns="http://schemas.openxmlformats.org/spreadsheetml/2006/main" count="30" uniqueCount="30">
  <si>
    <t>Instance ID</t>
  </si>
  <si>
    <t>Approach</t>
  </si>
  <si>
    <t>a</t>
  </si>
  <si>
    <t>b</t>
  </si>
  <si>
    <t>c</t>
  </si>
  <si>
    <t>d</t>
  </si>
  <si>
    <t>e</t>
  </si>
  <si>
    <t>Run</t>
  </si>
  <si>
    <t>Avg</t>
  </si>
  <si>
    <t>Min. Cuts</t>
  </si>
  <si>
    <t>Avg. Cuts</t>
  </si>
  <si>
    <t>Max. Cuts</t>
  </si>
  <si>
    <t>Avg. LSPC-Based Cuts (%)</t>
  </si>
  <si>
    <t>Unsolved Instances</t>
  </si>
  <si>
    <t>No. of Runs</t>
  </si>
  <si>
    <t>Solution Time (s)</t>
  </si>
  <si>
    <t>No. of Unsolved Runs</t>
  </si>
  <si>
    <t>Min. LSPC-Based Cuts over 35 Instances (%)</t>
  </si>
  <si>
    <t>Avg. LSPC-Based Cuts  over 35 Instances (%)</t>
  </si>
  <si>
    <t>Max. LSPC-Based Cuts  over 35 Instances (%)</t>
  </si>
  <si>
    <t>Max. Opt. Gap (%)</t>
  </si>
  <si>
    <t>Min. Opt.Gap (%)</t>
  </si>
  <si>
    <t>Avg. Opt. Gap over Unsolved Instances (%)</t>
  </si>
  <si>
    <t>Avg. Solution Time (s)</t>
  </si>
  <si>
    <t>Avg. No. of Added Cuts</t>
  </si>
  <si>
    <t>Avg. Cycles over Iterations</t>
  </si>
  <si>
    <t>Avg. Gap over Unsolved Runs (%)</t>
  </si>
  <si>
    <t>Cut-Pool Iterations</t>
  </si>
  <si>
    <t>Preproc. Time (s)</t>
  </si>
  <si>
    <t>Avg. Preproc. 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</si>
</sst>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0" fontId="0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1" xfId="0" applyNumberFormat="1" applyBorder="1" applyAlignment="1">
      <alignment horizontal="center"/>
    </xf>
    <xf numFmtId="10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76E2C-9064-4DCD-B806-928B93058B06}">
  <sheetPr>
    <tabColor theme="9" tint="-0.249977111117893"/>
  </sheetPr>
  <dimension ref="A1:M176"/>
  <sheetViews>
    <sheetView tabSelected="1" workbookViewId="0">
      <selection activeCell="K9" sqref="K9"/>
    </sheetView>
  </sheetViews>
  <sheetFormatPr defaultRowHeight="15" x14ac:dyDescent="0.25"/>
  <cols>
    <col min="1" max="1" width="15.7109375" style="1" bestFit="1" customWidth="1"/>
    <col min="2" max="2" width="14" style="1" bestFit="1" customWidth="1"/>
    <col min="3" max="3" width="13.42578125" style="1" bestFit="1" customWidth="1"/>
    <col min="4" max="4" width="30.42578125" style="1" bestFit="1" customWidth="1"/>
    <col min="5" max="5" width="24.140625" style="1" bestFit="1" customWidth="1"/>
    <col min="6" max="6" width="23" style="1" bestFit="1" customWidth="1"/>
    <col min="7" max="7" width="29.85546875" style="1" bestFit="1" customWidth="1"/>
    <col min="8" max="9" width="21" style="1" bestFit="1" customWidth="1"/>
    <col min="10" max="10" width="22.28515625" style="1" bestFit="1" customWidth="1"/>
    <col min="11" max="11" width="35.85546875" style="3" bestFit="1" customWidth="1"/>
    <col min="12" max="13" width="9.140625" style="1"/>
  </cols>
  <sheetData>
    <row r="1" spans="1:11" x14ac:dyDescent="0.25">
      <c r="A1" s="4" t="s">
        <v>0</v>
      </c>
      <c r="B1" s="4" t="s">
        <v>1</v>
      </c>
      <c r="C1" s="4" t="s">
        <v>14</v>
      </c>
      <c r="D1" s="4" t="s">
        <v>12</v>
      </c>
      <c r="E1" s="4" t="s">
        <v>24</v>
      </c>
      <c r="F1" s="4" t="s">
        <v>27</v>
      </c>
      <c r="G1" s="4" t="s">
        <v>25</v>
      </c>
      <c r="H1" s="4" t="s">
        <v>28</v>
      </c>
      <c r="I1" s="4" t="s">
        <v>15</v>
      </c>
      <c r="J1" s="4" t="s">
        <v>16</v>
      </c>
      <c r="K1" s="4" t="s">
        <v>26</v>
      </c>
    </row>
    <row r="2" spans="1:11" x14ac:dyDescent="0.25">
      <c r="A2" s="1">
        <v>1</v>
      </c>
      <c r="B2" s="1" t="s">
        <v>2</v>
      </c>
      <c r="C2" s="1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7200</v>
      </c>
      <c r="J2" s="1">
        <v>1</v>
      </c>
      <c r="K2" s="3">
        <v>5.6953576719999998E-3</v>
      </c>
    </row>
    <row r="3" spans="1:11" x14ac:dyDescent="0.25">
      <c r="A3" s="1">
        <v>1</v>
      </c>
      <c r="B3" s="1" t="s">
        <v>3</v>
      </c>
      <c r="C3" s="1">
        <v>1</v>
      </c>
      <c r="D3" s="1">
        <v>0</v>
      </c>
      <c r="E3" s="1">
        <v>0</v>
      </c>
      <c r="F3" s="1">
        <v>0</v>
      </c>
      <c r="G3" s="1">
        <v>0</v>
      </c>
      <c r="H3" s="1">
        <v>3.7805</v>
      </c>
      <c r="I3" s="1">
        <v>7200</v>
      </c>
      <c r="J3" s="1">
        <v>1</v>
      </c>
      <c r="K3" s="3">
        <v>3.5000000000000001E-3</v>
      </c>
    </row>
    <row r="4" spans="1:11" x14ac:dyDescent="0.25">
      <c r="A4" s="1">
        <v>1</v>
      </c>
      <c r="B4" s="1" t="s">
        <v>4</v>
      </c>
      <c r="C4" s="1">
        <v>1</v>
      </c>
      <c r="D4" s="1">
        <v>0</v>
      </c>
      <c r="E4" s="1">
        <v>0</v>
      </c>
      <c r="F4" s="1">
        <v>0</v>
      </c>
      <c r="G4" s="1">
        <v>0</v>
      </c>
      <c r="H4" s="1">
        <v>5.5849000000000002</v>
      </c>
      <c r="I4" s="1">
        <v>476.25069999999999</v>
      </c>
      <c r="J4" s="1">
        <v>0</v>
      </c>
      <c r="K4" s="3">
        <v>0</v>
      </c>
    </row>
    <row r="5" spans="1:11" x14ac:dyDescent="0.25">
      <c r="A5" s="1">
        <v>1</v>
      </c>
      <c r="B5" s="1" t="s">
        <v>5</v>
      </c>
      <c r="C5" s="1">
        <v>30</v>
      </c>
      <c r="D5" s="2">
        <v>0.1671</v>
      </c>
      <c r="E5" s="1">
        <v>44.2</v>
      </c>
      <c r="F5" s="1">
        <v>1</v>
      </c>
      <c r="G5" s="1">
        <v>104</v>
      </c>
      <c r="H5" s="1">
        <v>7.3018000000000001</v>
      </c>
      <c r="I5" s="1">
        <v>6322.7106999999996</v>
      </c>
      <c r="J5" s="1">
        <v>26</v>
      </c>
      <c r="K5" s="3">
        <v>6.9899999999999997E-3</v>
      </c>
    </row>
    <row r="6" spans="1:11" x14ac:dyDescent="0.25">
      <c r="A6" s="1">
        <v>1</v>
      </c>
      <c r="B6" s="1" t="s">
        <v>6</v>
      </c>
      <c r="C6" s="1">
        <v>1</v>
      </c>
      <c r="D6" s="2">
        <v>0.78949999999999998</v>
      </c>
      <c r="E6" s="1">
        <v>19</v>
      </c>
      <c r="F6" s="1">
        <v>3</v>
      </c>
      <c r="G6" s="1">
        <v>197.3</v>
      </c>
      <c r="H6" s="1">
        <v>118.9049</v>
      </c>
      <c r="I6" s="1">
        <v>2175.9274</v>
      </c>
      <c r="J6" s="1">
        <v>0</v>
      </c>
      <c r="K6" s="3">
        <v>0</v>
      </c>
    </row>
    <row r="7" spans="1:11" x14ac:dyDescent="0.25">
      <c r="A7" s="1">
        <f>A2+1</f>
        <v>2</v>
      </c>
      <c r="B7" s="1" t="str">
        <f>B2</f>
        <v>a</v>
      </c>
      <c r="C7" s="1">
        <v>1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7200</v>
      </c>
      <c r="J7" s="1">
        <v>1</v>
      </c>
      <c r="K7" s="3">
        <v>2.0873280999999999E-3</v>
      </c>
    </row>
    <row r="8" spans="1:11" x14ac:dyDescent="0.25">
      <c r="A8" s="1">
        <f t="shared" ref="A8:A71" si="0">A3+1</f>
        <v>2</v>
      </c>
      <c r="B8" s="1" t="str">
        <f t="shared" ref="B8:B71" si="1">B3</f>
        <v>b</v>
      </c>
      <c r="C8" s="1">
        <v>1</v>
      </c>
      <c r="D8" s="1">
        <v>0</v>
      </c>
      <c r="E8" s="1">
        <v>0</v>
      </c>
      <c r="F8" s="1">
        <v>0</v>
      </c>
      <c r="G8" s="1">
        <v>0</v>
      </c>
      <c r="H8" s="1">
        <v>3.7805</v>
      </c>
      <c r="I8" s="1">
        <v>7200</v>
      </c>
      <c r="J8" s="1">
        <v>1</v>
      </c>
      <c r="K8" s="3">
        <v>3.0000000000000001E-3</v>
      </c>
    </row>
    <row r="9" spans="1:11" x14ac:dyDescent="0.25">
      <c r="A9" s="1">
        <f t="shared" si="0"/>
        <v>2</v>
      </c>
      <c r="B9" s="1" t="str">
        <f t="shared" si="1"/>
        <v>c</v>
      </c>
      <c r="C9" s="1">
        <v>1</v>
      </c>
      <c r="D9" s="1">
        <v>0</v>
      </c>
      <c r="E9" s="1">
        <v>0</v>
      </c>
      <c r="F9" s="1">
        <v>0</v>
      </c>
      <c r="G9" s="1">
        <v>0</v>
      </c>
      <c r="H9" s="1">
        <v>5.5849000000000002</v>
      </c>
      <c r="I9" s="1">
        <v>7200</v>
      </c>
      <c r="J9" s="1">
        <v>1</v>
      </c>
      <c r="K9" s="3">
        <v>2.8999999999999998E-3</v>
      </c>
    </row>
    <row r="10" spans="1:11" x14ac:dyDescent="0.25">
      <c r="A10" s="1">
        <f t="shared" si="0"/>
        <v>2</v>
      </c>
      <c r="B10" s="1" t="str">
        <f t="shared" si="1"/>
        <v>d</v>
      </c>
      <c r="C10" s="1">
        <v>30</v>
      </c>
      <c r="D10" s="2">
        <v>0.16200000000000001</v>
      </c>
      <c r="E10" s="1">
        <v>44.2333</v>
      </c>
      <c r="F10" s="1">
        <v>1</v>
      </c>
      <c r="G10" s="1">
        <v>104</v>
      </c>
      <c r="H10" s="1">
        <v>7.4798</v>
      </c>
      <c r="I10" s="1">
        <v>4631.0061999999998</v>
      </c>
      <c r="J10" s="1">
        <v>15</v>
      </c>
      <c r="K10" s="3">
        <v>2.8700000000000002E-3</v>
      </c>
    </row>
    <row r="11" spans="1:11" x14ac:dyDescent="0.25">
      <c r="A11" s="1">
        <f t="shared" si="0"/>
        <v>2</v>
      </c>
      <c r="B11" s="1" t="str">
        <f t="shared" si="1"/>
        <v>e</v>
      </c>
      <c r="C11" s="1">
        <v>1</v>
      </c>
      <c r="D11" s="2">
        <v>0.75</v>
      </c>
      <c r="E11" s="1">
        <v>20</v>
      </c>
      <c r="F11" s="1">
        <v>3</v>
      </c>
      <c r="G11" s="1">
        <v>201.7</v>
      </c>
      <c r="H11" s="1">
        <v>121.31910000000001</v>
      </c>
      <c r="I11" s="1">
        <v>318.30119999999999</v>
      </c>
      <c r="J11" s="1">
        <v>0</v>
      </c>
      <c r="K11" s="3">
        <v>0</v>
      </c>
    </row>
    <row r="12" spans="1:11" x14ac:dyDescent="0.25">
      <c r="A12" s="1">
        <f t="shared" si="0"/>
        <v>3</v>
      </c>
      <c r="B12" s="1" t="str">
        <f t="shared" si="1"/>
        <v>a</v>
      </c>
      <c r="C12" s="1">
        <v>1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7200</v>
      </c>
      <c r="J12" s="1">
        <v>1</v>
      </c>
      <c r="K12" s="3">
        <v>3.3064858620000001E-3</v>
      </c>
    </row>
    <row r="13" spans="1:11" x14ac:dyDescent="0.25">
      <c r="A13" s="1">
        <f t="shared" si="0"/>
        <v>3</v>
      </c>
      <c r="B13" s="1" t="str">
        <f t="shared" si="1"/>
        <v>b</v>
      </c>
      <c r="C13" s="1">
        <v>1</v>
      </c>
      <c r="D13" s="1">
        <v>0</v>
      </c>
      <c r="E13" s="1">
        <v>0</v>
      </c>
      <c r="F13" s="1">
        <v>0</v>
      </c>
      <c r="G13" s="1">
        <v>0</v>
      </c>
      <c r="H13" s="1">
        <v>3.7805</v>
      </c>
      <c r="I13" s="1">
        <v>7200</v>
      </c>
      <c r="J13" s="1">
        <v>1</v>
      </c>
      <c r="K13" s="3">
        <v>2.3999999999999998E-3</v>
      </c>
    </row>
    <row r="14" spans="1:11" x14ac:dyDescent="0.25">
      <c r="A14" s="1">
        <f t="shared" si="0"/>
        <v>3</v>
      </c>
      <c r="B14" s="1" t="str">
        <f t="shared" si="1"/>
        <v>c</v>
      </c>
      <c r="C14" s="1">
        <v>1</v>
      </c>
      <c r="D14" s="1">
        <v>0</v>
      </c>
      <c r="E14" s="1">
        <v>0</v>
      </c>
      <c r="F14" s="1">
        <v>0</v>
      </c>
      <c r="G14" s="1">
        <v>0</v>
      </c>
      <c r="H14" s="1">
        <v>5.5849000000000002</v>
      </c>
      <c r="I14" s="1">
        <v>429.94670000000002</v>
      </c>
      <c r="J14" s="1">
        <v>0</v>
      </c>
      <c r="K14" s="3">
        <v>0</v>
      </c>
    </row>
    <row r="15" spans="1:11" x14ac:dyDescent="0.25">
      <c r="A15" s="1">
        <f t="shared" si="0"/>
        <v>3</v>
      </c>
      <c r="B15" s="1" t="str">
        <f t="shared" si="1"/>
        <v>d</v>
      </c>
      <c r="C15" s="1">
        <v>30</v>
      </c>
      <c r="D15" s="2">
        <v>0.15870000000000001</v>
      </c>
      <c r="E15" s="1">
        <v>44.366700000000002</v>
      </c>
      <c r="F15" s="1">
        <v>1</v>
      </c>
      <c r="G15" s="1">
        <v>104</v>
      </c>
      <c r="H15" s="1">
        <v>7.4023000000000003</v>
      </c>
      <c r="I15" s="1">
        <v>5390.6396000000004</v>
      </c>
      <c r="J15" s="1">
        <v>21</v>
      </c>
      <c r="K15" s="3">
        <v>2.7499999999999998E-3</v>
      </c>
    </row>
    <row r="16" spans="1:11" x14ac:dyDescent="0.25">
      <c r="A16" s="1">
        <f t="shared" si="0"/>
        <v>3</v>
      </c>
      <c r="B16" s="1" t="str">
        <f t="shared" si="1"/>
        <v>e</v>
      </c>
      <c r="C16" s="1">
        <v>1</v>
      </c>
      <c r="D16" s="2">
        <v>0.85</v>
      </c>
      <c r="E16" s="1">
        <v>20</v>
      </c>
      <c r="F16" s="1">
        <v>3</v>
      </c>
      <c r="G16" s="1">
        <v>201.3</v>
      </c>
      <c r="H16" s="1">
        <v>124.31619999999999</v>
      </c>
      <c r="I16" s="1">
        <v>2320.0239000000001</v>
      </c>
      <c r="J16" s="1">
        <v>0</v>
      </c>
      <c r="K16" s="3">
        <v>0</v>
      </c>
    </row>
    <row r="17" spans="1:11" x14ac:dyDescent="0.25">
      <c r="A17" s="1">
        <f t="shared" si="0"/>
        <v>4</v>
      </c>
      <c r="B17" s="1" t="str">
        <f t="shared" si="1"/>
        <v>a</v>
      </c>
      <c r="C17" s="1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7200</v>
      </c>
      <c r="J17" s="1">
        <v>1</v>
      </c>
      <c r="K17" s="3">
        <v>1.2615763990000001E-2</v>
      </c>
    </row>
    <row r="18" spans="1:11" x14ac:dyDescent="0.25">
      <c r="A18" s="1">
        <f t="shared" si="0"/>
        <v>4</v>
      </c>
      <c r="B18" s="1" t="str">
        <f t="shared" si="1"/>
        <v>b</v>
      </c>
      <c r="C18" s="1">
        <v>1</v>
      </c>
      <c r="D18" s="1">
        <v>0</v>
      </c>
      <c r="E18" s="1">
        <v>0</v>
      </c>
      <c r="F18" s="1">
        <v>0</v>
      </c>
      <c r="G18" s="1">
        <v>0</v>
      </c>
      <c r="H18" s="1">
        <v>3.7805</v>
      </c>
      <c r="I18" s="1">
        <v>7200</v>
      </c>
      <c r="J18" s="1">
        <v>1</v>
      </c>
      <c r="K18" s="3">
        <v>1.12E-2</v>
      </c>
    </row>
    <row r="19" spans="1:11" x14ac:dyDescent="0.25">
      <c r="A19" s="1">
        <f t="shared" si="0"/>
        <v>4</v>
      </c>
      <c r="B19" s="1" t="str">
        <f t="shared" si="1"/>
        <v>c</v>
      </c>
      <c r="C19" s="1">
        <v>1</v>
      </c>
      <c r="D19" s="1">
        <v>0</v>
      </c>
      <c r="E19" s="1">
        <v>0</v>
      </c>
      <c r="F19" s="1">
        <v>0</v>
      </c>
      <c r="G19" s="1">
        <v>0</v>
      </c>
      <c r="H19" s="1">
        <v>5.5849000000000002</v>
      </c>
      <c r="I19" s="1">
        <v>7200</v>
      </c>
      <c r="J19" s="1">
        <v>1</v>
      </c>
      <c r="K19" s="3">
        <v>1.3899999999999999E-2</v>
      </c>
    </row>
    <row r="20" spans="1:11" x14ac:dyDescent="0.25">
      <c r="A20" s="1">
        <f t="shared" si="0"/>
        <v>4</v>
      </c>
      <c r="B20" s="1" t="str">
        <f t="shared" si="1"/>
        <v>d</v>
      </c>
      <c r="C20" s="1">
        <v>30</v>
      </c>
      <c r="D20" s="2">
        <v>0.18390000000000001</v>
      </c>
      <c r="E20" s="1">
        <v>42.9</v>
      </c>
      <c r="F20" s="1">
        <v>1</v>
      </c>
      <c r="G20" s="1">
        <v>104</v>
      </c>
      <c r="H20" s="1">
        <v>7.3316999999999997</v>
      </c>
      <c r="I20" s="1">
        <v>5065.6805999999997</v>
      </c>
      <c r="J20" s="1">
        <v>18</v>
      </c>
      <c r="K20" s="3">
        <v>8.5299999999999994E-3</v>
      </c>
    </row>
    <row r="21" spans="1:11" x14ac:dyDescent="0.25">
      <c r="A21" s="1">
        <f t="shared" si="0"/>
        <v>4</v>
      </c>
      <c r="B21" s="1" t="str">
        <f t="shared" si="1"/>
        <v>e</v>
      </c>
      <c r="C21" s="1">
        <v>1</v>
      </c>
      <c r="D21" s="2">
        <v>0.93330000000000002</v>
      </c>
      <c r="E21" s="1">
        <v>15</v>
      </c>
      <c r="F21" s="1">
        <v>3</v>
      </c>
      <c r="G21" s="1">
        <v>193.7</v>
      </c>
      <c r="H21" s="1">
        <v>114.4464</v>
      </c>
      <c r="I21" s="1">
        <v>7200</v>
      </c>
      <c r="J21" s="1">
        <v>1</v>
      </c>
      <c r="K21" s="3">
        <v>1.03E-2</v>
      </c>
    </row>
    <row r="22" spans="1:11" x14ac:dyDescent="0.25">
      <c r="A22" s="1">
        <f t="shared" si="0"/>
        <v>5</v>
      </c>
      <c r="B22" s="1" t="str">
        <f t="shared" si="1"/>
        <v>a</v>
      </c>
      <c r="C22" s="1">
        <v>1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282.27927599999998</v>
      </c>
      <c r="J22" s="1">
        <v>0</v>
      </c>
      <c r="K22" s="3">
        <v>0</v>
      </c>
    </row>
    <row r="23" spans="1:11" x14ac:dyDescent="0.25">
      <c r="A23" s="1">
        <f t="shared" si="0"/>
        <v>5</v>
      </c>
      <c r="B23" s="1" t="str">
        <f t="shared" si="1"/>
        <v>b</v>
      </c>
      <c r="C23" s="1">
        <v>1</v>
      </c>
      <c r="D23" s="1">
        <v>0</v>
      </c>
      <c r="E23" s="1">
        <v>0</v>
      </c>
      <c r="F23" s="1">
        <v>0</v>
      </c>
      <c r="G23" s="1">
        <v>0</v>
      </c>
      <c r="H23" s="1">
        <v>3.7805</v>
      </c>
      <c r="I23" s="1">
        <v>257.62909999999999</v>
      </c>
      <c r="J23" s="1">
        <v>0</v>
      </c>
      <c r="K23" s="3">
        <v>0</v>
      </c>
    </row>
    <row r="24" spans="1:11" x14ac:dyDescent="0.25">
      <c r="A24" s="1">
        <f t="shared" si="0"/>
        <v>5</v>
      </c>
      <c r="B24" s="1" t="str">
        <f t="shared" si="1"/>
        <v>c</v>
      </c>
      <c r="C24" s="1">
        <v>1</v>
      </c>
      <c r="D24" s="1">
        <v>0</v>
      </c>
      <c r="E24" s="1">
        <v>0</v>
      </c>
      <c r="F24" s="1">
        <v>0</v>
      </c>
      <c r="G24" s="1">
        <v>0</v>
      </c>
      <c r="H24" s="1">
        <v>5.5849000000000002</v>
      </c>
      <c r="I24" s="1">
        <v>212.26910000000001</v>
      </c>
      <c r="J24" s="1">
        <v>0</v>
      </c>
      <c r="K24" s="3">
        <v>0</v>
      </c>
    </row>
    <row r="25" spans="1:11" x14ac:dyDescent="0.25">
      <c r="A25" s="1">
        <f t="shared" si="0"/>
        <v>5</v>
      </c>
      <c r="B25" s="1" t="str">
        <f t="shared" si="1"/>
        <v>d</v>
      </c>
      <c r="C25" s="1">
        <v>30</v>
      </c>
      <c r="D25" s="2">
        <v>0.1656</v>
      </c>
      <c r="E25" s="1">
        <v>44.7</v>
      </c>
      <c r="F25" s="1">
        <v>1</v>
      </c>
      <c r="G25" s="1">
        <v>104</v>
      </c>
      <c r="H25" s="1">
        <v>7.4238999999999997</v>
      </c>
      <c r="I25" s="1">
        <v>267.31479999999999</v>
      </c>
      <c r="J25" s="1">
        <v>0</v>
      </c>
      <c r="K25" s="3">
        <v>0</v>
      </c>
    </row>
    <row r="26" spans="1:11" x14ac:dyDescent="0.25">
      <c r="A26" s="1">
        <f t="shared" si="0"/>
        <v>5</v>
      </c>
      <c r="B26" s="1" t="str">
        <f t="shared" si="1"/>
        <v>e</v>
      </c>
      <c r="C26" s="1">
        <v>1</v>
      </c>
      <c r="D26" s="2">
        <v>0.75</v>
      </c>
      <c r="E26" s="1">
        <v>20</v>
      </c>
      <c r="F26" s="1">
        <v>3</v>
      </c>
      <c r="G26" s="1">
        <v>200.3</v>
      </c>
      <c r="H26" s="1">
        <v>114.25069999999999</v>
      </c>
      <c r="I26" s="1">
        <v>223.60470000000001</v>
      </c>
      <c r="J26" s="1">
        <v>0</v>
      </c>
      <c r="K26" s="3">
        <v>0</v>
      </c>
    </row>
    <row r="27" spans="1:11" x14ac:dyDescent="0.25">
      <c r="A27" s="1">
        <f t="shared" si="0"/>
        <v>6</v>
      </c>
      <c r="B27" s="1" t="str">
        <f t="shared" si="1"/>
        <v>a</v>
      </c>
      <c r="C27" s="1">
        <v>1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339.06056699999999</v>
      </c>
      <c r="J27" s="1">
        <v>0</v>
      </c>
      <c r="K27" s="3">
        <v>0</v>
      </c>
    </row>
    <row r="28" spans="1:11" x14ac:dyDescent="0.25">
      <c r="A28" s="1">
        <f t="shared" si="0"/>
        <v>6</v>
      </c>
      <c r="B28" s="1" t="str">
        <f t="shared" si="1"/>
        <v>b</v>
      </c>
      <c r="C28" s="1">
        <v>1</v>
      </c>
      <c r="D28" s="1">
        <v>0</v>
      </c>
      <c r="E28" s="1">
        <v>0</v>
      </c>
      <c r="F28" s="1">
        <v>0</v>
      </c>
      <c r="G28" s="1">
        <v>0</v>
      </c>
      <c r="H28" s="1">
        <v>3.7805</v>
      </c>
      <c r="I28" s="1">
        <v>247.02869999999999</v>
      </c>
      <c r="J28" s="1">
        <v>0</v>
      </c>
      <c r="K28" s="3">
        <v>0</v>
      </c>
    </row>
    <row r="29" spans="1:11" x14ac:dyDescent="0.25">
      <c r="A29" s="1">
        <f t="shared" si="0"/>
        <v>6</v>
      </c>
      <c r="B29" s="1" t="str">
        <f t="shared" si="1"/>
        <v>c</v>
      </c>
      <c r="C29" s="1">
        <v>1</v>
      </c>
      <c r="D29" s="1">
        <v>0</v>
      </c>
      <c r="E29" s="1">
        <v>0</v>
      </c>
      <c r="F29" s="1">
        <v>0</v>
      </c>
      <c r="G29" s="1">
        <v>0</v>
      </c>
      <c r="H29" s="1">
        <v>5.5849000000000002</v>
      </c>
      <c r="I29" s="1">
        <v>264.75349999999997</v>
      </c>
      <c r="J29" s="1">
        <v>0</v>
      </c>
      <c r="K29" s="3">
        <v>0</v>
      </c>
    </row>
    <row r="30" spans="1:11" x14ac:dyDescent="0.25">
      <c r="A30" s="1">
        <f t="shared" si="0"/>
        <v>6</v>
      </c>
      <c r="B30" s="1" t="str">
        <f t="shared" si="1"/>
        <v>d</v>
      </c>
      <c r="C30" s="1">
        <v>30</v>
      </c>
      <c r="D30" s="2">
        <v>0.156</v>
      </c>
      <c r="E30" s="1">
        <v>43.433300000000003</v>
      </c>
      <c r="F30" s="1">
        <v>1</v>
      </c>
      <c r="G30" s="1">
        <v>104</v>
      </c>
      <c r="H30" s="1">
        <v>7.3422999999999998</v>
      </c>
      <c r="I30" s="1">
        <v>181.5968</v>
      </c>
      <c r="J30" s="1">
        <v>0</v>
      </c>
      <c r="K30" s="3">
        <v>0</v>
      </c>
    </row>
    <row r="31" spans="1:11" x14ac:dyDescent="0.25">
      <c r="A31" s="1">
        <f t="shared" si="0"/>
        <v>6</v>
      </c>
      <c r="B31" s="1" t="str">
        <f t="shared" si="1"/>
        <v>e</v>
      </c>
      <c r="C31" s="1">
        <v>1</v>
      </c>
      <c r="D31" s="2">
        <v>0.73680000000000001</v>
      </c>
      <c r="E31" s="1">
        <v>19</v>
      </c>
      <c r="F31" s="1">
        <v>3</v>
      </c>
      <c r="G31" s="1">
        <v>199.3</v>
      </c>
      <c r="H31" s="1">
        <v>114.813</v>
      </c>
      <c r="I31" s="1">
        <v>271.399</v>
      </c>
      <c r="J31" s="1">
        <v>0</v>
      </c>
      <c r="K31" s="3">
        <v>0</v>
      </c>
    </row>
    <row r="32" spans="1:11" x14ac:dyDescent="0.25">
      <c r="A32" s="1">
        <f t="shared" si="0"/>
        <v>7</v>
      </c>
      <c r="B32" s="1" t="str">
        <f t="shared" si="1"/>
        <v>a</v>
      </c>
      <c r="C32" s="1">
        <v>1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337.97562749999997</v>
      </c>
      <c r="J32" s="1">
        <v>0</v>
      </c>
      <c r="K32" s="3">
        <v>0</v>
      </c>
    </row>
    <row r="33" spans="1:13" x14ac:dyDescent="0.25">
      <c r="A33" s="1">
        <f t="shared" si="0"/>
        <v>7</v>
      </c>
      <c r="B33" s="1" t="str">
        <f t="shared" si="1"/>
        <v>b</v>
      </c>
      <c r="C33" s="1">
        <v>1</v>
      </c>
      <c r="D33" s="1">
        <v>0</v>
      </c>
      <c r="E33" s="1">
        <v>0</v>
      </c>
      <c r="F33" s="1">
        <v>0</v>
      </c>
      <c r="G33" s="1">
        <v>0</v>
      </c>
      <c r="H33" s="1">
        <v>3.7805</v>
      </c>
      <c r="I33" s="1">
        <v>251.75120000000001</v>
      </c>
      <c r="J33" s="1">
        <v>0</v>
      </c>
      <c r="K33" s="3">
        <v>0</v>
      </c>
    </row>
    <row r="34" spans="1:13" x14ac:dyDescent="0.25">
      <c r="A34" s="1">
        <f t="shared" si="0"/>
        <v>7</v>
      </c>
      <c r="B34" s="1" t="str">
        <f t="shared" si="1"/>
        <v>c</v>
      </c>
      <c r="C34" s="1">
        <v>1</v>
      </c>
      <c r="D34" s="1">
        <v>0</v>
      </c>
      <c r="E34" s="1">
        <v>0</v>
      </c>
      <c r="F34" s="1">
        <v>0</v>
      </c>
      <c r="G34" s="1">
        <v>0</v>
      </c>
      <c r="H34" s="1">
        <v>5.5849000000000002</v>
      </c>
      <c r="I34" s="1">
        <v>231.21369999999999</v>
      </c>
      <c r="J34" s="1">
        <v>0</v>
      </c>
      <c r="K34" s="3">
        <v>0</v>
      </c>
    </row>
    <row r="35" spans="1:13" x14ac:dyDescent="0.25">
      <c r="A35" s="1">
        <f t="shared" si="0"/>
        <v>7</v>
      </c>
      <c r="B35" s="1" t="str">
        <f t="shared" si="1"/>
        <v>d</v>
      </c>
      <c r="C35" s="1">
        <v>30</v>
      </c>
      <c r="D35" s="2">
        <v>0.15620000000000001</v>
      </c>
      <c r="E35" s="1">
        <v>42.933300000000003</v>
      </c>
      <c r="F35" s="1">
        <v>1</v>
      </c>
      <c r="G35" s="1">
        <v>104</v>
      </c>
      <c r="H35" s="1">
        <v>7.3297999999999996</v>
      </c>
      <c r="I35" s="1">
        <v>191.9</v>
      </c>
      <c r="J35" s="1">
        <v>0</v>
      </c>
      <c r="K35" s="3">
        <v>0</v>
      </c>
    </row>
    <row r="36" spans="1:13" x14ac:dyDescent="0.25">
      <c r="A36" s="1">
        <f t="shared" si="0"/>
        <v>7</v>
      </c>
      <c r="B36" s="1" t="str">
        <f t="shared" si="1"/>
        <v>e</v>
      </c>
      <c r="C36" s="1">
        <v>1</v>
      </c>
      <c r="D36" s="2">
        <v>0.77780000000000005</v>
      </c>
      <c r="E36" s="1">
        <v>18</v>
      </c>
      <c r="F36" s="1">
        <v>3</v>
      </c>
      <c r="G36" s="1">
        <v>195</v>
      </c>
      <c r="H36" s="1">
        <v>108.7135</v>
      </c>
      <c r="I36" s="1">
        <v>161.6986</v>
      </c>
      <c r="J36" s="1">
        <v>0</v>
      </c>
      <c r="K36" s="3">
        <v>0</v>
      </c>
    </row>
    <row r="37" spans="1:13" x14ac:dyDescent="0.25">
      <c r="A37" s="1">
        <f t="shared" si="0"/>
        <v>8</v>
      </c>
      <c r="B37" s="1" t="str">
        <f t="shared" si="1"/>
        <v>a</v>
      </c>
      <c r="C37" s="1">
        <v>1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239.45292699999999</v>
      </c>
      <c r="J37" s="1">
        <v>0</v>
      </c>
      <c r="K37" s="3">
        <v>0</v>
      </c>
    </row>
    <row r="38" spans="1:13" x14ac:dyDescent="0.25">
      <c r="A38" s="1">
        <f t="shared" si="0"/>
        <v>8</v>
      </c>
      <c r="B38" s="1" t="str">
        <f t="shared" si="1"/>
        <v>b</v>
      </c>
      <c r="C38" s="1">
        <v>1</v>
      </c>
      <c r="D38" s="1">
        <v>0</v>
      </c>
      <c r="E38" s="1">
        <v>0</v>
      </c>
      <c r="F38" s="1">
        <v>0</v>
      </c>
      <c r="G38" s="1">
        <v>0</v>
      </c>
      <c r="H38" s="1">
        <v>3.7805</v>
      </c>
      <c r="I38" s="1">
        <v>129.0737</v>
      </c>
      <c r="J38" s="1">
        <v>0</v>
      </c>
      <c r="K38" s="3">
        <v>0</v>
      </c>
    </row>
    <row r="39" spans="1:13" x14ac:dyDescent="0.25">
      <c r="A39" s="1">
        <f t="shared" si="0"/>
        <v>8</v>
      </c>
      <c r="B39" s="1" t="str">
        <f t="shared" si="1"/>
        <v>c</v>
      </c>
      <c r="C39" s="1">
        <v>1</v>
      </c>
      <c r="D39" s="1">
        <v>0</v>
      </c>
      <c r="E39" s="1">
        <v>0</v>
      </c>
      <c r="F39" s="1">
        <v>0</v>
      </c>
      <c r="G39" s="1">
        <v>0</v>
      </c>
      <c r="H39" s="1">
        <v>5.5849000000000002</v>
      </c>
      <c r="I39" s="1">
        <v>200.12960000000001</v>
      </c>
      <c r="J39" s="1">
        <v>0</v>
      </c>
      <c r="K39" s="3">
        <v>0</v>
      </c>
    </row>
    <row r="40" spans="1:13" x14ac:dyDescent="0.25">
      <c r="A40" s="1">
        <f t="shared" si="0"/>
        <v>8</v>
      </c>
      <c r="B40" s="1" t="str">
        <f t="shared" si="1"/>
        <v>d</v>
      </c>
      <c r="C40" s="1">
        <v>30</v>
      </c>
      <c r="D40" s="2">
        <v>0.16980000000000001</v>
      </c>
      <c r="E40" s="1">
        <v>44.833300000000001</v>
      </c>
      <c r="F40" s="1">
        <v>1</v>
      </c>
      <c r="G40" s="1">
        <v>104</v>
      </c>
      <c r="H40" s="1">
        <v>7.3734000000000002</v>
      </c>
      <c r="I40" s="1">
        <v>123.9174</v>
      </c>
      <c r="J40" s="1">
        <v>0</v>
      </c>
      <c r="K40" s="3">
        <v>0</v>
      </c>
    </row>
    <row r="41" spans="1:13" x14ac:dyDescent="0.25">
      <c r="A41" s="1">
        <f t="shared" si="0"/>
        <v>8</v>
      </c>
      <c r="B41" s="1" t="str">
        <f t="shared" si="1"/>
        <v>e</v>
      </c>
      <c r="C41" s="1">
        <v>1</v>
      </c>
      <c r="D41" s="2">
        <v>0.83330000000000004</v>
      </c>
      <c r="E41" s="1">
        <v>18</v>
      </c>
      <c r="F41" s="1">
        <v>3</v>
      </c>
      <c r="G41" s="1">
        <v>193.3</v>
      </c>
      <c r="H41" s="1">
        <v>110.7325</v>
      </c>
      <c r="I41" s="1">
        <v>122.0274</v>
      </c>
      <c r="J41" s="1">
        <v>0</v>
      </c>
      <c r="K41" s="3">
        <v>0</v>
      </c>
    </row>
    <row r="42" spans="1:13" x14ac:dyDescent="0.25">
      <c r="A42" s="1">
        <f t="shared" si="0"/>
        <v>9</v>
      </c>
      <c r="B42" s="1" t="str">
        <f t="shared" si="1"/>
        <v>a</v>
      </c>
      <c r="C42" s="1">
        <v>1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7200</v>
      </c>
      <c r="J42" s="1">
        <v>1</v>
      </c>
      <c r="K42" s="3">
        <v>7.8836563669999991E-3</v>
      </c>
    </row>
    <row r="43" spans="1:13" x14ac:dyDescent="0.25">
      <c r="A43" s="1">
        <f t="shared" si="0"/>
        <v>9</v>
      </c>
      <c r="B43" s="1" t="str">
        <f t="shared" si="1"/>
        <v>b</v>
      </c>
      <c r="C43" s="1">
        <v>1</v>
      </c>
      <c r="D43" s="1">
        <v>0</v>
      </c>
      <c r="E43" s="1">
        <v>0</v>
      </c>
      <c r="F43" s="1">
        <v>0</v>
      </c>
      <c r="G43" s="1">
        <v>0</v>
      </c>
      <c r="H43" s="1">
        <v>3.7805</v>
      </c>
      <c r="I43" s="1">
        <v>7200</v>
      </c>
      <c r="J43" s="1">
        <v>1</v>
      </c>
      <c r="K43" s="3">
        <v>3.0000000000000001E-3</v>
      </c>
      <c r="M43"/>
    </row>
    <row r="44" spans="1:13" x14ac:dyDescent="0.25">
      <c r="A44" s="1">
        <f t="shared" si="0"/>
        <v>9</v>
      </c>
      <c r="B44" s="1" t="str">
        <f t="shared" si="1"/>
        <v>c</v>
      </c>
      <c r="C44" s="1">
        <v>1</v>
      </c>
      <c r="D44" s="1">
        <v>0</v>
      </c>
      <c r="E44" s="1">
        <v>0</v>
      </c>
      <c r="F44" s="1">
        <v>0</v>
      </c>
      <c r="G44" s="1">
        <v>0</v>
      </c>
      <c r="H44" s="1">
        <v>5.5849000000000002</v>
      </c>
      <c r="I44" s="1">
        <v>7200</v>
      </c>
      <c r="J44" s="1">
        <v>1</v>
      </c>
      <c r="K44" s="3">
        <v>6.1999999999999998E-3</v>
      </c>
    </row>
    <row r="45" spans="1:13" x14ac:dyDescent="0.25">
      <c r="A45" s="1">
        <f t="shared" si="0"/>
        <v>9</v>
      </c>
      <c r="B45" s="1" t="str">
        <f t="shared" si="1"/>
        <v>d</v>
      </c>
      <c r="C45" s="1">
        <v>30</v>
      </c>
      <c r="D45" s="2">
        <v>0.16400000000000001</v>
      </c>
      <c r="E45" s="1">
        <v>43.466700000000003</v>
      </c>
      <c r="F45" s="1">
        <v>1</v>
      </c>
      <c r="G45" s="1">
        <v>104</v>
      </c>
      <c r="H45" s="1">
        <v>7.3441000000000001</v>
      </c>
      <c r="I45" s="1">
        <v>3759.8326000000002</v>
      </c>
      <c r="J45" s="1">
        <v>4</v>
      </c>
      <c r="K45" s="3">
        <v>5.4299999999999999E-3</v>
      </c>
    </row>
    <row r="46" spans="1:13" x14ac:dyDescent="0.25">
      <c r="A46" s="1">
        <f t="shared" si="0"/>
        <v>9</v>
      </c>
      <c r="B46" s="1" t="str">
        <f t="shared" si="1"/>
        <v>e</v>
      </c>
      <c r="C46" s="1">
        <v>1</v>
      </c>
      <c r="D46" s="2">
        <v>0.875</v>
      </c>
      <c r="E46" s="1">
        <v>16</v>
      </c>
      <c r="F46" s="1">
        <v>3</v>
      </c>
      <c r="G46" s="1">
        <v>197</v>
      </c>
      <c r="H46" s="1">
        <v>118.6503</v>
      </c>
      <c r="I46" s="1">
        <v>4251.0905000000002</v>
      </c>
      <c r="J46" s="1">
        <v>0</v>
      </c>
      <c r="K46" s="3">
        <v>0</v>
      </c>
    </row>
    <row r="47" spans="1:13" x14ac:dyDescent="0.25">
      <c r="A47" s="1">
        <f t="shared" si="0"/>
        <v>10</v>
      </c>
      <c r="B47" s="1" t="str">
        <f t="shared" si="1"/>
        <v>a</v>
      </c>
      <c r="C47" s="1">
        <v>1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573.70515749999993</v>
      </c>
      <c r="J47" s="1">
        <v>0</v>
      </c>
      <c r="K47" s="3">
        <v>0</v>
      </c>
    </row>
    <row r="48" spans="1:13" x14ac:dyDescent="0.25">
      <c r="A48" s="1">
        <f t="shared" si="0"/>
        <v>10</v>
      </c>
      <c r="B48" s="1" t="str">
        <f t="shared" si="1"/>
        <v>b</v>
      </c>
      <c r="C48" s="1">
        <v>1</v>
      </c>
      <c r="D48" s="1">
        <v>0</v>
      </c>
      <c r="E48" s="1">
        <v>0</v>
      </c>
      <c r="F48" s="1">
        <v>0</v>
      </c>
      <c r="G48" s="1">
        <v>0</v>
      </c>
      <c r="H48" s="1">
        <v>3.7805</v>
      </c>
      <c r="I48" s="1">
        <v>4052.4553999999998</v>
      </c>
      <c r="J48" s="1">
        <v>0</v>
      </c>
      <c r="K48" s="3">
        <v>0</v>
      </c>
    </row>
    <row r="49" spans="1:11" x14ac:dyDescent="0.25">
      <c r="A49" s="1">
        <f t="shared" si="0"/>
        <v>10</v>
      </c>
      <c r="B49" s="1" t="str">
        <f t="shared" si="1"/>
        <v>c</v>
      </c>
      <c r="C49" s="1">
        <v>1</v>
      </c>
      <c r="D49" s="1">
        <v>0</v>
      </c>
      <c r="E49" s="1">
        <v>0</v>
      </c>
      <c r="F49" s="1">
        <v>0</v>
      </c>
      <c r="G49" s="1">
        <v>0</v>
      </c>
      <c r="H49" s="1">
        <v>5.5849000000000002</v>
      </c>
      <c r="I49" s="1">
        <v>5310.7758000000003</v>
      </c>
      <c r="J49" s="1">
        <v>0</v>
      </c>
      <c r="K49" s="3">
        <v>0</v>
      </c>
    </row>
    <row r="50" spans="1:11" x14ac:dyDescent="0.25">
      <c r="A50" s="1">
        <f t="shared" si="0"/>
        <v>10</v>
      </c>
      <c r="B50" s="1" t="str">
        <f t="shared" si="1"/>
        <v>d</v>
      </c>
      <c r="C50" s="1">
        <v>30</v>
      </c>
      <c r="D50" s="2">
        <v>0.16109999999999999</v>
      </c>
      <c r="E50" s="1">
        <v>42.933300000000003</v>
      </c>
      <c r="F50" s="1">
        <v>1</v>
      </c>
      <c r="G50" s="1">
        <v>104</v>
      </c>
      <c r="H50" s="1">
        <v>7.3765999999999998</v>
      </c>
      <c r="I50" s="1">
        <v>2556.8175999999999</v>
      </c>
      <c r="J50" s="1">
        <v>0</v>
      </c>
      <c r="K50" s="3">
        <v>0</v>
      </c>
    </row>
    <row r="51" spans="1:11" x14ac:dyDescent="0.25">
      <c r="A51" s="1">
        <f t="shared" si="0"/>
        <v>10</v>
      </c>
      <c r="B51" s="1" t="str">
        <f t="shared" si="1"/>
        <v>e</v>
      </c>
      <c r="C51" s="1">
        <v>1</v>
      </c>
      <c r="D51" s="2">
        <v>0.78949999999999998</v>
      </c>
      <c r="E51" s="1">
        <v>19</v>
      </c>
      <c r="F51" s="1">
        <v>3</v>
      </c>
      <c r="G51" s="1">
        <v>200</v>
      </c>
      <c r="H51" s="1">
        <v>116.3601</v>
      </c>
      <c r="I51" s="1">
        <v>4022.2613000000001</v>
      </c>
      <c r="J51" s="1">
        <v>0</v>
      </c>
      <c r="K51" s="3">
        <v>0</v>
      </c>
    </row>
    <row r="52" spans="1:11" x14ac:dyDescent="0.25">
      <c r="A52" s="1">
        <f t="shared" si="0"/>
        <v>11</v>
      </c>
      <c r="B52" s="1" t="str">
        <f t="shared" si="1"/>
        <v>a</v>
      </c>
      <c r="C52" s="1">
        <v>1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7200</v>
      </c>
      <c r="J52" s="1">
        <v>1</v>
      </c>
      <c r="K52" s="3">
        <v>5.2572429149999999E-3</v>
      </c>
    </row>
    <row r="53" spans="1:11" x14ac:dyDescent="0.25">
      <c r="A53" s="1">
        <f t="shared" si="0"/>
        <v>11</v>
      </c>
      <c r="B53" s="1" t="str">
        <f t="shared" si="1"/>
        <v>b</v>
      </c>
      <c r="C53" s="1">
        <v>1</v>
      </c>
      <c r="D53" s="1">
        <v>0</v>
      </c>
      <c r="E53" s="1">
        <v>0</v>
      </c>
      <c r="F53" s="1">
        <v>0</v>
      </c>
      <c r="G53" s="1">
        <v>0</v>
      </c>
      <c r="H53" s="1">
        <v>3.7805</v>
      </c>
      <c r="I53" s="1">
        <v>3364.3449000000001</v>
      </c>
      <c r="J53" s="1">
        <v>0</v>
      </c>
      <c r="K53" s="3">
        <v>0</v>
      </c>
    </row>
    <row r="54" spans="1:11" x14ac:dyDescent="0.25">
      <c r="A54" s="1">
        <f t="shared" si="0"/>
        <v>11</v>
      </c>
      <c r="B54" s="1" t="str">
        <f t="shared" si="1"/>
        <v>c</v>
      </c>
      <c r="C54" s="1">
        <v>1</v>
      </c>
      <c r="D54" s="1">
        <v>0</v>
      </c>
      <c r="E54" s="1">
        <v>0</v>
      </c>
      <c r="F54" s="1">
        <v>0</v>
      </c>
      <c r="G54" s="1">
        <v>0</v>
      </c>
      <c r="H54" s="1">
        <v>5.5849000000000002</v>
      </c>
      <c r="I54" s="1">
        <v>3839.6491999999998</v>
      </c>
      <c r="J54" s="1">
        <v>0</v>
      </c>
      <c r="K54" s="3">
        <v>0</v>
      </c>
    </row>
    <row r="55" spans="1:11" x14ac:dyDescent="0.25">
      <c r="A55" s="1">
        <f t="shared" si="0"/>
        <v>11</v>
      </c>
      <c r="B55" s="1" t="str">
        <f t="shared" si="1"/>
        <v>d</v>
      </c>
      <c r="C55" s="1">
        <v>30</v>
      </c>
      <c r="D55" s="2">
        <v>0.17460000000000001</v>
      </c>
      <c r="E55" s="1">
        <v>41.3</v>
      </c>
      <c r="F55" s="1">
        <v>1</v>
      </c>
      <c r="G55" s="1">
        <v>104</v>
      </c>
      <c r="H55" s="1">
        <v>7.3147000000000002</v>
      </c>
      <c r="I55" s="1">
        <v>4870.6036000000004</v>
      </c>
      <c r="J55" s="1">
        <v>18</v>
      </c>
      <c r="K55" s="3">
        <v>2.66E-3</v>
      </c>
    </row>
    <row r="56" spans="1:11" x14ac:dyDescent="0.25">
      <c r="A56" s="1">
        <f t="shared" si="0"/>
        <v>11</v>
      </c>
      <c r="B56" s="1" t="str">
        <f t="shared" si="1"/>
        <v>e</v>
      </c>
      <c r="C56" s="1">
        <v>1</v>
      </c>
      <c r="D56" s="2">
        <v>0.73909999999999998</v>
      </c>
      <c r="E56" s="1">
        <v>23</v>
      </c>
      <c r="F56" s="1">
        <v>3</v>
      </c>
      <c r="G56" s="1">
        <v>194.7</v>
      </c>
      <c r="H56" s="1">
        <v>111.4157</v>
      </c>
      <c r="I56" s="1">
        <v>546.12860000000001</v>
      </c>
      <c r="J56" s="1">
        <v>0</v>
      </c>
      <c r="K56" s="3">
        <v>0</v>
      </c>
    </row>
    <row r="57" spans="1:11" x14ac:dyDescent="0.25">
      <c r="A57" s="1">
        <f t="shared" si="0"/>
        <v>12</v>
      </c>
      <c r="B57" s="1" t="str">
        <f t="shared" si="1"/>
        <v>a</v>
      </c>
      <c r="C57" s="1">
        <v>1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1307.832003</v>
      </c>
      <c r="J57" s="1">
        <v>0</v>
      </c>
      <c r="K57" s="3">
        <v>0</v>
      </c>
    </row>
    <row r="58" spans="1:11" x14ac:dyDescent="0.25">
      <c r="A58" s="1">
        <f t="shared" si="0"/>
        <v>12</v>
      </c>
      <c r="B58" s="1" t="str">
        <f t="shared" si="1"/>
        <v>b</v>
      </c>
      <c r="C58" s="1">
        <v>1</v>
      </c>
      <c r="D58" s="1">
        <v>0</v>
      </c>
      <c r="E58" s="1">
        <v>0</v>
      </c>
      <c r="F58" s="1">
        <v>0</v>
      </c>
      <c r="G58" s="1">
        <v>0</v>
      </c>
      <c r="H58" s="1">
        <v>3.7805</v>
      </c>
      <c r="I58" s="1">
        <v>381.9871</v>
      </c>
      <c r="J58" s="1">
        <v>0</v>
      </c>
      <c r="K58" s="3">
        <v>0</v>
      </c>
    </row>
    <row r="59" spans="1:11" x14ac:dyDescent="0.25">
      <c r="A59" s="1">
        <f t="shared" si="0"/>
        <v>12</v>
      </c>
      <c r="B59" s="1" t="str">
        <f t="shared" si="1"/>
        <v>c</v>
      </c>
      <c r="C59" s="1">
        <v>1</v>
      </c>
      <c r="D59" s="1">
        <v>0</v>
      </c>
      <c r="E59" s="1">
        <v>0</v>
      </c>
      <c r="F59" s="1">
        <v>0</v>
      </c>
      <c r="G59" s="1">
        <v>0</v>
      </c>
      <c r="H59" s="1">
        <v>5.5849000000000002</v>
      </c>
      <c r="I59" s="1">
        <v>7200</v>
      </c>
      <c r="J59" s="1">
        <v>1</v>
      </c>
      <c r="K59" s="3">
        <v>5.1999999999999998E-3</v>
      </c>
    </row>
    <row r="60" spans="1:11" x14ac:dyDescent="0.25">
      <c r="A60" s="1">
        <f t="shared" si="0"/>
        <v>12</v>
      </c>
      <c r="B60" s="1" t="str">
        <f t="shared" si="1"/>
        <v>d</v>
      </c>
      <c r="C60" s="1">
        <v>30</v>
      </c>
      <c r="D60" s="2">
        <v>0.1512</v>
      </c>
      <c r="E60" s="1">
        <v>45.633299999999998</v>
      </c>
      <c r="F60" s="1">
        <v>1</v>
      </c>
      <c r="G60" s="1">
        <v>104</v>
      </c>
      <c r="H60" s="1">
        <v>7.5351999999999997</v>
      </c>
      <c r="I60" s="1">
        <v>3828.4306999999999</v>
      </c>
      <c r="J60" s="1">
        <v>14</v>
      </c>
      <c r="K60" s="3">
        <v>5.0899999999999999E-3</v>
      </c>
    </row>
    <row r="61" spans="1:11" x14ac:dyDescent="0.25">
      <c r="A61" s="1">
        <f t="shared" si="0"/>
        <v>12</v>
      </c>
      <c r="B61" s="1" t="str">
        <f t="shared" si="1"/>
        <v>e</v>
      </c>
      <c r="C61" s="1">
        <v>1</v>
      </c>
      <c r="D61" s="2">
        <v>0.77780000000000005</v>
      </c>
      <c r="E61" s="1">
        <v>18</v>
      </c>
      <c r="F61" s="1">
        <v>3</v>
      </c>
      <c r="G61" s="1">
        <v>205.3</v>
      </c>
      <c r="H61" s="1">
        <v>122.5881</v>
      </c>
      <c r="I61" s="1">
        <v>7200</v>
      </c>
      <c r="J61" s="1">
        <v>1</v>
      </c>
      <c r="K61" s="3">
        <v>5.0000000000000001E-3</v>
      </c>
    </row>
    <row r="62" spans="1:11" x14ac:dyDescent="0.25">
      <c r="A62" s="1">
        <f t="shared" si="0"/>
        <v>13</v>
      </c>
      <c r="B62" s="1" t="str">
        <f t="shared" si="1"/>
        <v>a</v>
      </c>
      <c r="C62" s="1">
        <v>1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7200</v>
      </c>
      <c r="J62" s="1">
        <v>1</v>
      </c>
      <c r="K62" s="3">
        <v>2.8E-3</v>
      </c>
    </row>
    <row r="63" spans="1:11" x14ac:dyDescent="0.25">
      <c r="A63" s="1">
        <f t="shared" si="0"/>
        <v>13</v>
      </c>
      <c r="B63" s="1" t="str">
        <f t="shared" si="1"/>
        <v>b</v>
      </c>
      <c r="C63" s="1">
        <v>1</v>
      </c>
      <c r="D63" s="1">
        <v>0</v>
      </c>
      <c r="E63" s="1">
        <v>0</v>
      </c>
      <c r="F63" s="1">
        <v>0</v>
      </c>
      <c r="G63" s="1">
        <v>0</v>
      </c>
      <c r="H63" s="1">
        <v>3.7805</v>
      </c>
      <c r="I63" s="1">
        <v>7200</v>
      </c>
      <c r="J63" s="1">
        <v>1</v>
      </c>
      <c r="K63" s="3">
        <v>2.5000000000000001E-3</v>
      </c>
    </row>
    <row r="64" spans="1:11" x14ac:dyDescent="0.25">
      <c r="A64" s="1">
        <f t="shared" si="0"/>
        <v>13</v>
      </c>
      <c r="B64" s="1" t="str">
        <f t="shared" si="1"/>
        <v>c</v>
      </c>
      <c r="C64" s="1">
        <v>1</v>
      </c>
      <c r="D64" s="1">
        <v>0</v>
      </c>
      <c r="E64" s="1">
        <v>0</v>
      </c>
      <c r="F64" s="1">
        <v>0</v>
      </c>
      <c r="G64" s="1">
        <v>0</v>
      </c>
      <c r="H64" s="1">
        <v>5.5849000000000002</v>
      </c>
      <c r="I64" s="1">
        <v>266.14</v>
      </c>
      <c r="J64" s="1">
        <v>0</v>
      </c>
      <c r="K64" s="3">
        <v>0</v>
      </c>
    </row>
    <row r="65" spans="1:11" x14ac:dyDescent="0.25">
      <c r="A65" s="1">
        <f t="shared" si="0"/>
        <v>13</v>
      </c>
      <c r="B65" s="1" t="str">
        <f t="shared" si="1"/>
        <v>d</v>
      </c>
      <c r="C65" s="1">
        <v>30</v>
      </c>
      <c r="D65" s="2">
        <v>0.15939999999999999</v>
      </c>
      <c r="E65" s="1">
        <v>43.2333</v>
      </c>
      <c r="F65" s="1">
        <v>1</v>
      </c>
      <c r="G65" s="1">
        <v>104</v>
      </c>
      <c r="H65" s="1">
        <v>7.5641999999999996</v>
      </c>
      <c r="I65" s="1">
        <v>5830.4753000000001</v>
      </c>
      <c r="J65" s="1">
        <v>24</v>
      </c>
      <c r="K65" s="3">
        <v>2.31E-3</v>
      </c>
    </row>
    <row r="66" spans="1:11" x14ac:dyDescent="0.25">
      <c r="A66" s="1">
        <f t="shared" si="0"/>
        <v>13</v>
      </c>
      <c r="B66" s="1" t="str">
        <f t="shared" si="1"/>
        <v>e</v>
      </c>
      <c r="C66" s="1">
        <v>1</v>
      </c>
      <c r="D66" s="2">
        <v>0.82350000000000001</v>
      </c>
      <c r="E66" s="1">
        <v>17</v>
      </c>
      <c r="F66" s="1">
        <v>3</v>
      </c>
      <c r="G66" s="1">
        <v>196.3</v>
      </c>
      <c r="H66" s="1">
        <v>111.2676</v>
      </c>
      <c r="I66" s="1">
        <v>274.94240000000002</v>
      </c>
      <c r="J66" s="1">
        <v>0</v>
      </c>
      <c r="K66" s="3">
        <v>0</v>
      </c>
    </row>
    <row r="67" spans="1:11" x14ac:dyDescent="0.25">
      <c r="A67" s="1">
        <f t="shared" si="0"/>
        <v>14</v>
      </c>
      <c r="B67" s="1" t="str">
        <f t="shared" si="1"/>
        <v>a</v>
      </c>
      <c r="C67" s="1">
        <v>1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7200</v>
      </c>
      <c r="J67" s="1">
        <v>1</v>
      </c>
      <c r="K67" s="3">
        <v>4.7000000000000002E-3</v>
      </c>
    </row>
    <row r="68" spans="1:11" x14ac:dyDescent="0.25">
      <c r="A68" s="1">
        <f t="shared" si="0"/>
        <v>14</v>
      </c>
      <c r="B68" s="1" t="str">
        <f t="shared" si="1"/>
        <v>b</v>
      </c>
      <c r="C68" s="1">
        <v>1</v>
      </c>
      <c r="D68" s="1">
        <v>0</v>
      </c>
      <c r="E68" s="1">
        <v>0</v>
      </c>
      <c r="F68" s="1">
        <v>0</v>
      </c>
      <c r="G68" s="1">
        <v>0</v>
      </c>
      <c r="H68" s="1">
        <v>3.7805</v>
      </c>
      <c r="I68" s="1">
        <v>7200</v>
      </c>
      <c r="J68" s="1">
        <v>1</v>
      </c>
      <c r="K68" s="3">
        <v>4.1999999999999997E-3</v>
      </c>
    </row>
    <row r="69" spans="1:11" x14ac:dyDescent="0.25">
      <c r="A69" s="1">
        <f t="shared" si="0"/>
        <v>14</v>
      </c>
      <c r="B69" s="1" t="str">
        <f t="shared" si="1"/>
        <v>c</v>
      </c>
      <c r="C69" s="1">
        <v>1</v>
      </c>
      <c r="D69" s="1">
        <v>0</v>
      </c>
      <c r="E69" s="1">
        <v>0</v>
      </c>
      <c r="F69" s="1">
        <v>0</v>
      </c>
      <c r="G69" s="1">
        <v>0</v>
      </c>
      <c r="H69" s="1">
        <v>5.5849000000000002</v>
      </c>
      <c r="I69" s="1">
        <v>430.5591</v>
      </c>
      <c r="J69" s="1">
        <v>0</v>
      </c>
      <c r="K69" s="3">
        <v>0</v>
      </c>
    </row>
    <row r="70" spans="1:11" x14ac:dyDescent="0.25">
      <c r="A70" s="1">
        <f t="shared" si="0"/>
        <v>14</v>
      </c>
      <c r="B70" s="1" t="str">
        <f t="shared" si="1"/>
        <v>d</v>
      </c>
      <c r="C70" s="1">
        <v>30</v>
      </c>
      <c r="D70" s="2">
        <v>0.14779999999999999</v>
      </c>
      <c r="E70" s="1">
        <v>43.9</v>
      </c>
      <c r="F70" s="1">
        <v>1</v>
      </c>
      <c r="G70" s="1">
        <v>104</v>
      </c>
      <c r="H70" s="1">
        <v>7.5613999999999999</v>
      </c>
      <c r="I70" s="1">
        <v>3641.8730999999998</v>
      </c>
      <c r="J70" s="1">
        <v>14</v>
      </c>
      <c r="K70" s="3">
        <v>3.4299999999999999E-3</v>
      </c>
    </row>
    <row r="71" spans="1:11" x14ac:dyDescent="0.25">
      <c r="A71" s="1">
        <f t="shared" si="0"/>
        <v>14</v>
      </c>
      <c r="B71" s="1" t="str">
        <f t="shared" si="1"/>
        <v>e</v>
      </c>
      <c r="C71" s="1">
        <v>1</v>
      </c>
      <c r="D71" s="2">
        <v>0.76190000000000002</v>
      </c>
      <c r="E71" s="1">
        <v>21</v>
      </c>
      <c r="F71" s="1">
        <v>3</v>
      </c>
      <c r="G71" s="1">
        <v>198.7</v>
      </c>
      <c r="H71" s="1">
        <v>117.0433</v>
      </c>
      <c r="I71" s="1">
        <v>7200</v>
      </c>
      <c r="J71" s="1">
        <v>1</v>
      </c>
      <c r="K71" s="3">
        <v>1.8E-3</v>
      </c>
    </row>
    <row r="72" spans="1:11" x14ac:dyDescent="0.25">
      <c r="A72" s="1">
        <f t="shared" ref="A72:A135" si="2">A67+1</f>
        <v>15</v>
      </c>
      <c r="B72" s="1" t="str">
        <f t="shared" ref="B72:B135" si="3">B67</f>
        <v>a</v>
      </c>
      <c r="C72" s="1">
        <v>1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2995.6331024999995</v>
      </c>
      <c r="J72" s="1">
        <v>0</v>
      </c>
      <c r="K72" s="3">
        <v>0</v>
      </c>
    </row>
    <row r="73" spans="1:11" x14ac:dyDescent="0.25">
      <c r="A73" s="1">
        <f t="shared" si="2"/>
        <v>15</v>
      </c>
      <c r="B73" s="1" t="str">
        <f t="shared" si="3"/>
        <v>b</v>
      </c>
      <c r="C73" s="1">
        <v>1</v>
      </c>
      <c r="D73" s="1">
        <v>0</v>
      </c>
      <c r="E73" s="1">
        <v>0</v>
      </c>
      <c r="F73" s="1">
        <v>0</v>
      </c>
      <c r="G73" s="1">
        <v>0</v>
      </c>
      <c r="H73" s="1">
        <v>3.7805</v>
      </c>
      <c r="I73" s="1">
        <v>762.00070000000005</v>
      </c>
      <c r="J73" s="1">
        <v>0</v>
      </c>
      <c r="K73" s="3">
        <v>0</v>
      </c>
    </row>
    <row r="74" spans="1:11" x14ac:dyDescent="0.25">
      <c r="A74" s="1">
        <f t="shared" si="2"/>
        <v>15</v>
      </c>
      <c r="B74" s="1" t="str">
        <f t="shared" si="3"/>
        <v>c</v>
      </c>
      <c r="C74" s="1">
        <v>1</v>
      </c>
      <c r="D74" s="1">
        <v>0</v>
      </c>
      <c r="E74" s="1">
        <v>0</v>
      </c>
      <c r="F74" s="1">
        <v>0</v>
      </c>
      <c r="G74" s="1">
        <v>0</v>
      </c>
      <c r="H74" s="1">
        <v>5.5849000000000002</v>
      </c>
      <c r="I74" s="1">
        <v>485.14109999999999</v>
      </c>
      <c r="J74" s="1">
        <v>0</v>
      </c>
      <c r="K74" s="3">
        <v>0</v>
      </c>
    </row>
    <row r="75" spans="1:11" x14ac:dyDescent="0.25">
      <c r="A75" s="1">
        <f t="shared" si="2"/>
        <v>15</v>
      </c>
      <c r="B75" s="1" t="str">
        <f t="shared" si="3"/>
        <v>d</v>
      </c>
      <c r="C75" s="1">
        <v>30</v>
      </c>
      <c r="D75" s="2">
        <v>0.15970000000000001</v>
      </c>
      <c r="E75" s="1">
        <v>44.966700000000003</v>
      </c>
      <c r="F75" s="1">
        <v>1</v>
      </c>
      <c r="G75" s="1">
        <v>104</v>
      </c>
      <c r="H75" s="1">
        <v>7.5202</v>
      </c>
      <c r="I75" s="1">
        <v>486.81959999999998</v>
      </c>
      <c r="J75" s="1">
        <v>0</v>
      </c>
      <c r="K75" s="3">
        <v>0</v>
      </c>
    </row>
    <row r="76" spans="1:11" x14ac:dyDescent="0.25">
      <c r="A76" s="1">
        <f t="shared" si="2"/>
        <v>15</v>
      </c>
      <c r="B76" s="1" t="str">
        <f t="shared" si="3"/>
        <v>e</v>
      </c>
      <c r="C76" s="1">
        <v>1</v>
      </c>
      <c r="D76" s="2">
        <v>0.76470000000000005</v>
      </c>
      <c r="E76" s="1">
        <v>17</v>
      </c>
      <c r="F76" s="1">
        <v>3</v>
      </c>
      <c r="G76" s="1">
        <v>196</v>
      </c>
      <c r="H76" s="1">
        <v>114.389</v>
      </c>
      <c r="I76" s="1">
        <v>557.32740000000001</v>
      </c>
      <c r="J76" s="1">
        <v>0</v>
      </c>
      <c r="K76" s="3">
        <v>0</v>
      </c>
    </row>
    <row r="77" spans="1:11" x14ac:dyDescent="0.25">
      <c r="A77" s="1">
        <f t="shared" si="2"/>
        <v>16</v>
      </c>
      <c r="B77" s="1" t="str">
        <f t="shared" si="3"/>
        <v>a</v>
      </c>
      <c r="C77" s="1">
        <v>1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880.5097935</v>
      </c>
      <c r="J77" s="1">
        <v>0</v>
      </c>
      <c r="K77" s="3">
        <v>0</v>
      </c>
    </row>
    <row r="78" spans="1:11" x14ac:dyDescent="0.25">
      <c r="A78" s="1">
        <f t="shared" si="2"/>
        <v>16</v>
      </c>
      <c r="B78" s="1" t="str">
        <f t="shared" si="3"/>
        <v>b</v>
      </c>
      <c r="C78" s="1">
        <v>1</v>
      </c>
      <c r="D78" s="1">
        <v>0</v>
      </c>
      <c r="E78" s="1">
        <v>0</v>
      </c>
      <c r="F78" s="1">
        <v>0</v>
      </c>
      <c r="G78" s="1">
        <v>0</v>
      </c>
      <c r="H78" s="1">
        <v>3.7805</v>
      </c>
      <c r="I78" s="1">
        <v>272.89400000000001</v>
      </c>
      <c r="J78" s="1">
        <v>0</v>
      </c>
      <c r="K78" s="3">
        <v>0</v>
      </c>
    </row>
    <row r="79" spans="1:11" x14ac:dyDescent="0.25">
      <c r="A79" s="1">
        <f t="shared" si="2"/>
        <v>16</v>
      </c>
      <c r="B79" s="1" t="str">
        <f t="shared" si="3"/>
        <v>c</v>
      </c>
      <c r="C79" s="1">
        <v>1</v>
      </c>
      <c r="D79" s="1">
        <v>0</v>
      </c>
      <c r="E79" s="1">
        <v>0</v>
      </c>
      <c r="F79" s="1">
        <v>0</v>
      </c>
      <c r="G79" s="1">
        <v>0</v>
      </c>
      <c r="H79" s="1">
        <v>5.5849000000000002</v>
      </c>
      <c r="I79" s="1">
        <v>305.92899999999997</v>
      </c>
      <c r="J79" s="1">
        <v>0</v>
      </c>
      <c r="K79" s="3">
        <v>0</v>
      </c>
    </row>
    <row r="80" spans="1:11" x14ac:dyDescent="0.25">
      <c r="A80" s="1">
        <f t="shared" si="2"/>
        <v>16</v>
      </c>
      <c r="B80" s="1" t="str">
        <f t="shared" si="3"/>
        <v>d</v>
      </c>
      <c r="C80" s="1">
        <v>30</v>
      </c>
      <c r="D80" s="2">
        <v>0.15890000000000001</v>
      </c>
      <c r="E80" s="1">
        <v>43.7667</v>
      </c>
      <c r="F80" s="1">
        <v>1</v>
      </c>
      <c r="G80" s="1">
        <v>104</v>
      </c>
      <c r="H80" s="1">
        <v>7.4904999999999999</v>
      </c>
      <c r="I80" s="1">
        <v>366.25529999999998</v>
      </c>
      <c r="J80" s="1">
        <v>0</v>
      </c>
      <c r="K80" s="3">
        <v>0</v>
      </c>
    </row>
    <row r="81" spans="1:11" x14ac:dyDescent="0.25">
      <c r="A81" s="1">
        <f t="shared" si="2"/>
        <v>16</v>
      </c>
      <c r="B81" s="1" t="str">
        <f t="shared" si="3"/>
        <v>e</v>
      </c>
      <c r="C81" s="1">
        <v>1</v>
      </c>
      <c r="D81" s="2">
        <v>0.88239999999999996</v>
      </c>
      <c r="E81" s="1">
        <v>17</v>
      </c>
      <c r="F81" s="1">
        <v>4</v>
      </c>
      <c r="G81" s="1">
        <v>199</v>
      </c>
      <c r="H81" s="1">
        <v>122.6431</v>
      </c>
      <c r="I81" s="1">
        <v>215.0154</v>
      </c>
      <c r="J81" s="1">
        <v>0</v>
      </c>
      <c r="K81" s="3">
        <v>0</v>
      </c>
    </row>
    <row r="82" spans="1:11" x14ac:dyDescent="0.25">
      <c r="A82" s="1">
        <f t="shared" si="2"/>
        <v>17</v>
      </c>
      <c r="B82" s="1" t="str">
        <f t="shared" si="3"/>
        <v>a</v>
      </c>
      <c r="C82" s="1">
        <v>1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7200</v>
      </c>
      <c r="J82" s="1">
        <v>1</v>
      </c>
      <c r="K82" s="3">
        <v>1.6000000000000001E-3</v>
      </c>
    </row>
    <row r="83" spans="1:11" x14ac:dyDescent="0.25">
      <c r="A83" s="1">
        <f t="shared" si="2"/>
        <v>17</v>
      </c>
      <c r="B83" s="1" t="str">
        <f t="shared" si="3"/>
        <v>b</v>
      </c>
      <c r="C83" s="1">
        <v>1</v>
      </c>
      <c r="D83" s="1">
        <v>0</v>
      </c>
      <c r="E83" s="1">
        <v>0</v>
      </c>
      <c r="F83" s="1">
        <v>0</v>
      </c>
      <c r="G83" s="1">
        <v>0</v>
      </c>
      <c r="H83" s="1">
        <v>3.7805</v>
      </c>
      <c r="I83" s="1">
        <v>7200</v>
      </c>
      <c r="J83" s="1">
        <v>1</v>
      </c>
      <c r="K83" s="3">
        <v>1.2999999999999999E-3</v>
      </c>
    </row>
    <row r="84" spans="1:11" x14ac:dyDescent="0.25">
      <c r="A84" s="1">
        <f t="shared" si="2"/>
        <v>17</v>
      </c>
      <c r="B84" s="1" t="str">
        <f t="shared" si="3"/>
        <v>c</v>
      </c>
      <c r="C84" s="1">
        <v>1</v>
      </c>
      <c r="D84" s="1">
        <v>0</v>
      </c>
      <c r="E84" s="1">
        <v>0</v>
      </c>
      <c r="F84" s="1">
        <v>0</v>
      </c>
      <c r="G84" s="1">
        <v>0</v>
      </c>
      <c r="H84" s="1">
        <v>5.5849000000000002</v>
      </c>
      <c r="I84" s="1">
        <v>146.92160000000001</v>
      </c>
      <c r="J84" s="1">
        <v>0</v>
      </c>
      <c r="K84" s="3">
        <v>0</v>
      </c>
    </row>
    <row r="85" spans="1:11" x14ac:dyDescent="0.25">
      <c r="A85" s="1">
        <f t="shared" si="2"/>
        <v>17</v>
      </c>
      <c r="B85" s="1" t="str">
        <f t="shared" si="3"/>
        <v>d</v>
      </c>
      <c r="C85" s="1">
        <v>30</v>
      </c>
      <c r="D85" s="2">
        <v>0.17299999999999999</v>
      </c>
      <c r="E85" s="1">
        <v>43.333300000000001</v>
      </c>
      <c r="F85" s="1">
        <v>1</v>
      </c>
      <c r="G85" s="1">
        <v>104</v>
      </c>
      <c r="H85" s="1">
        <v>7.6485000000000003</v>
      </c>
      <c r="I85" s="1">
        <v>2124.0976999999998</v>
      </c>
      <c r="J85" s="1">
        <v>6</v>
      </c>
      <c r="K85" s="3">
        <v>1.1999999999999999E-3</v>
      </c>
    </row>
    <row r="86" spans="1:11" x14ac:dyDescent="0.25">
      <c r="A86" s="1">
        <f t="shared" si="2"/>
        <v>17</v>
      </c>
      <c r="B86" s="1" t="str">
        <f t="shared" si="3"/>
        <v>e</v>
      </c>
      <c r="C86" s="1">
        <v>1</v>
      </c>
      <c r="D86" s="2">
        <v>0.84209999999999996</v>
      </c>
      <c r="E86" s="1">
        <v>19</v>
      </c>
      <c r="F86" s="1">
        <v>3</v>
      </c>
      <c r="G86" s="1">
        <v>196</v>
      </c>
      <c r="H86" s="1">
        <v>114.20099999999999</v>
      </c>
      <c r="I86" s="1">
        <v>718.85239999999999</v>
      </c>
      <c r="J86" s="1">
        <v>0</v>
      </c>
      <c r="K86" s="3">
        <v>0</v>
      </c>
    </row>
    <row r="87" spans="1:11" x14ac:dyDescent="0.25">
      <c r="A87" s="1">
        <f t="shared" si="2"/>
        <v>18</v>
      </c>
      <c r="B87" s="1" t="str">
        <f t="shared" si="3"/>
        <v>a</v>
      </c>
      <c r="C87" s="1">
        <v>1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7200</v>
      </c>
      <c r="J87" s="1">
        <v>1</v>
      </c>
      <c r="K87" s="3">
        <v>2.81E-2</v>
      </c>
    </row>
    <row r="88" spans="1:11" x14ac:dyDescent="0.25">
      <c r="A88" s="1">
        <f t="shared" si="2"/>
        <v>18</v>
      </c>
      <c r="B88" s="1" t="str">
        <f t="shared" si="3"/>
        <v>b</v>
      </c>
      <c r="C88" s="1">
        <v>1</v>
      </c>
      <c r="D88" s="1">
        <v>0</v>
      </c>
      <c r="E88" s="1">
        <v>0</v>
      </c>
      <c r="F88" s="1">
        <v>0</v>
      </c>
      <c r="G88" s="1">
        <v>0</v>
      </c>
      <c r="H88" s="1">
        <v>3.7805</v>
      </c>
      <c r="I88" s="1">
        <v>7200</v>
      </c>
      <c r="J88" s="1">
        <v>1</v>
      </c>
      <c r="K88" s="3">
        <v>1.11E-2</v>
      </c>
    </row>
    <row r="89" spans="1:11" x14ac:dyDescent="0.25">
      <c r="A89" s="1">
        <f t="shared" si="2"/>
        <v>18</v>
      </c>
      <c r="B89" s="1" t="str">
        <f t="shared" si="3"/>
        <v>c</v>
      </c>
      <c r="C89" s="1">
        <v>1</v>
      </c>
      <c r="D89" s="1">
        <v>0</v>
      </c>
      <c r="E89" s="1">
        <v>0</v>
      </c>
      <c r="F89" s="1">
        <v>0</v>
      </c>
      <c r="G89" s="1">
        <v>0</v>
      </c>
      <c r="H89" s="1">
        <v>5.5849000000000002</v>
      </c>
      <c r="I89" s="1">
        <v>7200</v>
      </c>
      <c r="J89" s="1">
        <v>1</v>
      </c>
      <c r="K89" s="3">
        <v>1.11E-2</v>
      </c>
    </row>
    <row r="90" spans="1:11" x14ac:dyDescent="0.25">
      <c r="A90" s="1">
        <f t="shared" si="2"/>
        <v>18</v>
      </c>
      <c r="B90" s="1" t="str">
        <f t="shared" si="3"/>
        <v>d</v>
      </c>
      <c r="C90" s="1">
        <v>30</v>
      </c>
      <c r="D90" s="2">
        <v>0.15229999999999999</v>
      </c>
      <c r="E90" s="1">
        <v>43.4</v>
      </c>
      <c r="F90" s="1">
        <v>1</v>
      </c>
      <c r="G90" s="1">
        <v>104</v>
      </c>
      <c r="H90" s="1">
        <v>7.6241000000000003</v>
      </c>
      <c r="I90" s="1">
        <v>6984.8734999999997</v>
      </c>
      <c r="J90" s="1">
        <v>28</v>
      </c>
      <c r="K90" s="3">
        <v>1.095E-2</v>
      </c>
    </row>
    <row r="91" spans="1:11" x14ac:dyDescent="0.25">
      <c r="A91" s="1">
        <f t="shared" si="2"/>
        <v>18</v>
      </c>
      <c r="B91" s="1" t="str">
        <f t="shared" si="3"/>
        <v>e</v>
      </c>
      <c r="C91" s="1">
        <v>1</v>
      </c>
      <c r="D91" s="2">
        <v>0.68179999999999996</v>
      </c>
      <c r="E91" s="1">
        <v>22</v>
      </c>
      <c r="F91" s="1">
        <v>3</v>
      </c>
      <c r="G91" s="1">
        <v>201</v>
      </c>
      <c r="H91" s="1">
        <v>118.5348</v>
      </c>
      <c r="I91" s="1">
        <v>907.51549999999997</v>
      </c>
      <c r="J91" s="1">
        <v>0</v>
      </c>
      <c r="K91" s="3">
        <v>0</v>
      </c>
    </row>
    <row r="92" spans="1:11" x14ac:dyDescent="0.25">
      <c r="A92" s="1">
        <f t="shared" si="2"/>
        <v>19</v>
      </c>
      <c r="B92" s="1" t="str">
        <f t="shared" si="3"/>
        <v>a</v>
      </c>
      <c r="C92" s="1">
        <v>1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621.79819199999997</v>
      </c>
      <c r="J92" s="1">
        <v>0</v>
      </c>
      <c r="K92" s="3">
        <v>0</v>
      </c>
    </row>
    <row r="93" spans="1:11" x14ac:dyDescent="0.25">
      <c r="A93" s="1">
        <f t="shared" si="2"/>
        <v>19</v>
      </c>
      <c r="B93" s="1" t="str">
        <f t="shared" si="3"/>
        <v>b</v>
      </c>
      <c r="C93" s="1">
        <v>1</v>
      </c>
      <c r="D93" s="1">
        <v>0</v>
      </c>
      <c r="E93" s="1">
        <v>0</v>
      </c>
      <c r="F93" s="1">
        <v>0</v>
      </c>
      <c r="G93" s="1">
        <v>0</v>
      </c>
      <c r="H93" s="1">
        <v>3.7805</v>
      </c>
      <c r="I93" s="1">
        <v>314.67689999999999</v>
      </c>
      <c r="J93" s="1">
        <v>0</v>
      </c>
      <c r="K93" s="3">
        <v>0</v>
      </c>
    </row>
    <row r="94" spans="1:11" x14ac:dyDescent="0.25">
      <c r="A94" s="1">
        <f t="shared" si="2"/>
        <v>19</v>
      </c>
      <c r="B94" s="1" t="str">
        <f t="shared" si="3"/>
        <v>c</v>
      </c>
      <c r="C94" s="1">
        <v>1</v>
      </c>
      <c r="D94" s="1">
        <v>0</v>
      </c>
      <c r="E94" s="1">
        <v>0</v>
      </c>
      <c r="F94" s="1">
        <v>0</v>
      </c>
      <c r="G94" s="1">
        <v>0</v>
      </c>
      <c r="H94" s="1">
        <v>5.5849000000000002</v>
      </c>
      <c r="I94" s="1">
        <v>265.10939999999999</v>
      </c>
      <c r="J94" s="1">
        <v>0</v>
      </c>
      <c r="K94" s="3">
        <v>0</v>
      </c>
    </row>
    <row r="95" spans="1:11" x14ac:dyDescent="0.25">
      <c r="A95" s="1">
        <f t="shared" si="2"/>
        <v>19</v>
      </c>
      <c r="B95" s="1" t="str">
        <f t="shared" si="3"/>
        <v>d</v>
      </c>
      <c r="C95" s="1">
        <v>30</v>
      </c>
      <c r="D95" s="2">
        <v>0.15340000000000001</v>
      </c>
      <c r="E95" s="1">
        <v>44.466700000000003</v>
      </c>
      <c r="F95" s="1">
        <v>1</v>
      </c>
      <c r="G95" s="1">
        <v>104</v>
      </c>
      <c r="H95" s="1">
        <v>7.6272000000000002</v>
      </c>
      <c r="I95" s="1">
        <v>222.2122</v>
      </c>
      <c r="J95" s="1">
        <v>0</v>
      </c>
      <c r="K95" s="3">
        <v>0</v>
      </c>
    </row>
    <row r="96" spans="1:11" x14ac:dyDescent="0.25">
      <c r="A96" s="1">
        <f t="shared" si="2"/>
        <v>19</v>
      </c>
      <c r="B96" s="1" t="str">
        <f t="shared" si="3"/>
        <v>e</v>
      </c>
      <c r="C96" s="1">
        <v>1</v>
      </c>
      <c r="D96" s="2">
        <v>0.7</v>
      </c>
      <c r="E96" s="1">
        <v>20</v>
      </c>
      <c r="F96" s="1">
        <v>3</v>
      </c>
      <c r="G96" s="1">
        <v>198.3</v>
      </c>
      <c r="H96" s="1">
        <v>113.3981</v>
      </c>
      <c r="I96" s="1">
        <v>234.35849999999999</v>
      </c>
      <c r="J96" s="1">
        <v>0</v>
      </c>
      <c r="K96" s="3">
        <v>0</v>
      </c>
    </row>
    <row r="97" spans="1:11" x14ac:dyDescent="0.25">
      <c r="A97" s="1">
        <f t="shared" si="2"/>
        <v>20</v>
      </c>
      <c r="B97" s="1" t="str">
        <f t="shared" si="3"/>
        <v>a</v>
      </c>
      <c r="C97" s="1">
        <v>1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778.24496249999993</v>
      </c>
      <c r="J97" s="1">
        <v>0</v>
      </c>
      <c r="K97" s="3">
        <v>0</v>
      </c>
    </row>
    <row r="98" spans="1:11" x14ac:dyDescent="0.25">
      <c r="A98" s="1">
        <f t="shared" si="2"/>
        <v>20</v>
      </c>
      <c r="B98" s="1" t="str">
        <f t="shared" si="3"/>
        <v>b</v>
      </c>
      <c r="C98" s="1">
        <v>1</v>
      </c>
      <c r="D98" s="1">
        <v>0</v>
      </c>
      <c r="E98" s="1">
        <v>0</v>
      </c>
      <c r="F98" s="1">
        <v>0</v>
      </c>
      <c r="G98" s="1">
        <v>0</v>
      </c>
      <c r="H98" s="1">
        <v>3.7805</v>
      </c>
      <c r="I98" s="1">
        <v>2544.4418000000001</v>
      </c>
      <c r="J98" s="1">
        <v>0</v>
      </c>
      <c r="K98" s="3">
        <v>0</v>
      </c>
    </row>
    <row r="99" spans="1:11" x14ac:dyDescent="0.25">
      <c r="A99" s="1">
        <f t="shared" si="2"/>
        <v>20</v>
      </c>
      <c r="B99" s="1" t="str">
        <f t="shared" si="3"/>
        <v>c</v>
      </c>
      <c r="C99" s="1">
        <v>1</v>
      </c>
      <c r="D99" s="1">
        <v>0</v>
      </c>
      <c r="E99" s="1">
        <v>0</v>
      </c>
      <c r="F99" s="1">
        <v>0</v>
      </c>
      <c r="G99" s="1">
        <v>0</v>
      </c>
      <c r="H99" s="1">
        <v>5.5849000000000002</v>
      </c>
      <c r="I99" s="1">
        <v>1399.8051</v>
      </c>
      <c r="J99" s="1">
        <v>0</v>
      </c>
      <c r="K99" s="3">
        <v>0</v>
      </c>
    </row>
    <row r="100" spans="1:11" x14ac:dyDescent="0.25">
      <c r="A100" s="1">
        <f t="shared" si="2"/>
        <v>20</v>
      </c>
      <c r="B100" s="1" t="str">
        <f t="shared" si="3"/>
        <v>d</v>
      </c>
      <c r="C100" s="1">
        <v>30</v>
      </c>
      <c r="D100" s="2">
        <v>0.14749999999999999</v>
      </c>
      <c r="E100" s="1">
        <v>44.2</v>
      </c>
      <c r="F100" s="1">
        <v>1</v>
      </c>
      <c r="G100" s="1">
        <v>104</v>
      </c>
      <c r="H100" s="1">
        <v>7.6449999999999996</v>
      </c>
      <c r="I100" s="1">
        <v>1133.3492000000001</v>
      </c>
      <c r="J100" s="1">
        <v>0</v>
      </c>
      <c r="K100" s="3">
        <v>0</v>
      </c>
    </row>
    <row r="101" spans="1:11" x14ac:dyDescent="0.25">
      <c r="A101" s="1">
        <f t="shared" si="2"/>
        <v>20</v>
      </c>
      <c r="B101" s="1" t="str">
        <f t="shared" si="3"/>
        <v>e</v>
      </c>
      <c r="C101" s="1">
        <v>1</v>
      </c>
      <c r="D101" s="2">
        <v>0.82350000000000001</v>
      </c>
      <c r="E101" s="1">
        <v>17</v>
      </c>
      <c r="F101" s="1">
        <v>3</v>
      </c>
      <c r="G101" s="1">
        <v>202.7</v>
      </c>
      <c r="H101" s="1">
        <v>120.2975</v>
      </c>
      <c r="I101" s="1">
        <v>1089.069</v>
      </c>
      <c r="J101" s="1">
        <v>0</v>
      </c>
      <c r="K101" s="3">
        <v>0</v>
      </c>
    </row>
    <row r="102" spans="1:11" x14ac:dyDescent="0.25">
      <c r="A102" s="1">
        <f t="shared" si="2"/>
        <v>21</v>
      </c>
      <c r="B102" s="1" t="str">
        <f t="shared" si="3"/>
        <v>a</v>
      </c>
      <c r="C102" s="1">
        <v>1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7200</v>
      </c>
      <c r="J102" s="1">
        <v>1</v>
      </c>
      <c r="K102" s="3">
        <v>4.1999999999999997E-3</v>
      </c>
    </row>
    <row r="103" spans="1:11" x14ac:dyDescent="0.25">
      <c r="A103" s="1">
        <f t="shared" si="2"/>
        <v>21</v>
      </c>
      <c r="B103" s="1" t="str">
        <f t="shared" si="3"/>
        <v>b</v>
      </c>
      <c r="C103" s="1">
        <v>1</v>
      </c>
      <c r="D103" s="1">
        <v>0</v>
      </c>
      <c r="E103" s="1">
        <v>0</v>
      </c>
      <c r="F103" s="1">
        <v>0</v>
      </c>
      <c r="G103" s="1">
        <v>0</v>
      </c>
      <c r="H103" s="1">
        <v>3.7805</v>
      </c>
      <c r="I103" s="1">
        <v>7200</v>
      </c>
      <c r="J103" s="1">
        <v>1</v>
      </c>
      <c r="K103" s="3">
        <v>3.7000000000000002E-3</v>
      </c>
    </row>
    <row r="104" spans="1:11" x14ac:dyDescent="0.25">
      <c r="A104" s="1">
        <f t="shared" si="2"/>
        <v>21</v>
      </c>
      <c r="B104" s="1" t="str">
        <f t="shared" si="3"/>
        <v>c</v>
      </c>
      <c r="C104" s="1">
        <v>1</v>
      </c>
      <c r="D104" s="1">
        <v>0</v>
      </c>
      <c r="E104" s="1">
        <v>0</v>
      </c>
      <c r="F104" s="1">
        <v>0</v>
      </c>
      <c r="G104" s="1">
        <v>0</v>
      </c>
      <c r="H104" s="1">
        <v>5.5849000000000002</v>
      </c>
      <c r="I104" s="1">
        <v>7200</v>
      </c>
      <c r="J104" s="1">
        <v>1</v>
      </c>
      <c r="K104" s="3">
        <v>3.8E-3</v>
      </c>
    </row>
    <row r="105" spans="1:11" x14ac:dyDescent="0.25">
      <c r="A105" s="1">
        <f t="shared" si="2"/>
        <v>21</v>
      </c>
      <c r="B105" s="1" t="str">
        <f t="shared" si="3"/>
        <v>d</v>
      </c>
      <c r="C105" s="1">
        <v>30</v>
      </c>
      <c r="D105" s="2">
        <v>0.16220000000000001</v>
      </c>
      <c r="E105" s="1">
        <v>44.133299999999998</v>
      </c>
      <c r="F105" s="1">
        <v>1</v>
      </c>
      <c r="G105" s="1">
        <v>104</v>
      </c>
      <c r="H105" s="1">
        <v>7.5594000000000001</v>
      </c>
      <c r="I105" s="1">
        <v>4072.2103999999999</v>
      </c>
      <c r="J105" s="1">
        <v>15</v>
      </c>
      <c r="K105" s="3">
        <v>3.0899999999999999E-3</v>
      </c>
    </row>
    <row r="106" spans="1:11" x14ac:dyDescent="0.25">
      <c r="A106" s="1">
        <f t="shared" si="2"/>
        <v>21</v>
      </c>
      <c r="B106" s="1" t="str">
        <f t="shared" si="3"/>
        <v>e</v>
      </c>
      <c r="C106" s="1">
        <v>1</v>
      </c>
      <c r="D106" s="2">
        <v>0.78949999999999998</v>
      </c>
      <c r="E106" s="1">
        <v>19</v>
      </c>
      <c r="F106" s="1">
        <v>3</v>
      </c>
      <c r="G106" s="1">
        <v>201</v>
      </c>
      <c r="H106" s="1">
        <v>116.7368</v>
      </c>
      <c r="I106" s="1">
        <v>983.02030000000002</v>
      </c>
      <c r="J106" s="1">
        <v>0</v>
      </c>
      <c r="K106" s="3">
        <v>0</v>
      </c>
    </row>
    <row r="107" spans="1:11" x14ac:dyDescent="0.25">
      <c r="A107" s="1">
        <f t="shared" si="2"/>
        <v>22</v>
      </c>
      <c r="B107" s="1" t="str">
        <f t="shared" si="3"/>
        <v>a</v>
      </c>
      <c r="C107" s="1">
        <v>1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1428.4680484999999</v>
      </c>
      <c r="J107" s="1">
        <v>0</v>
      </c>
      <c r="K107" s="3">
        <v>0</v>
      </c>
    </row>
    <row r="108" spans="1:11" x14ac:dyDescent="0.25">
      <c r="A108" s="1">
        <f t="shared" si="2"/>
        <v>22</v>
      </c>
      <c r="B108" s="1" t="str">
        <f t="shared" si="3"/>
        <v>b</v>
      </c>
      <c r="C108" s="1">
        <v>1</v>
      </c>
      <c r="D108" s="1">
        <v>0</v>
      </c>
      <c r="E108" s="1">
        <v>0</v>
      </c>
      <c r="F108" s="1">
        <v>0</v>
      </c>
      <c r="G108" s="1">
        <v>0</v>
      </c>
      <c r="H108" s="1">
        <v>3.7805</v>
      </c>
      <c r="I108" s="1">
        <v>479.34809999999999</v>
      </c>
      <c r="J108" s="1">
        <v>0</v>
      </c>
      <c r="K108" s="3">
        <v>0</v>
      </c>
    </row>
    <row r="109" spans="1:11" x14ac:dyDescent="0.25">
      <c r="A109" s="1">
        <f t="shared" si="2"/>
        <v>22</v>
      </c>
      <c r="B109" s="1" t="str">
        <f t="shared" si="3"/>
        <v>c</v>
      </c>
      <c r="C109" s="1">
        <v>1</v>
      </c>
      <c r="D109" s="1">
        <v>0</v>
      </c>
      <c r="E109" s="1">
        <v>0</v>
      </c>
      <c r="F109" s="1">
        <v>0</v>
      </c>
      <c r="G109" s="1">
        <v>0</v>
      </c>
      <c r="H109" s="1">
        <v>5.5849000000000002</v>
      </c>
      <c r="I109" s="1">
        <v>384.24239999999998</v>
      </c>
      <c r="J109" s="1">
        <v>0</v>
      </c>
      <c r="K109" s="3">
        <v>0</v>
      </c>
    </row>
    <row r="110" spans="1:11" x14ac:dyDescent="0.25">
      <c r="A110" s="1">
        <f t="shared" si="2"/>
        <v>22</v>
      </c>
      <c r="B110" s="1" t="str">
        <f t="shared" si="3"/>
        <v>d</v>
      </c>
      <c r="C110" s="1">
        <v>30</v>
      </c>
      <c r="D110" s="2">
        <v>0.17349999999999999</v>
      </c>
      <c r="E110" s="1">
        <v>44.2667</v>
      </c>
      <c r="F110" s="1">
        <v>1</v>
      </c>
      <c r="G110" s="1">
        <v>104</v>
      </c>
      <c r="H110" s="1">
        <v>7.7122999999999999</v>
      </c>
      <c r="I110" s="1">
        <v>481.2174</v>
      </c>
      <c r="J110" s="1">
        <v>0</v>
      </c>
      <c r="K110" s="3">
        <v>0</v>
      </c>
    </row>
    <row r="111" spans="1:11" x14ac:dyDescent="0.25">
      <c r="A111" s="1">
        <f t="shared" si="2"/>
        <v>22</v>
      </c>
      <c r="B111" s="1" t="str">
        <f t="shared" si="3"/>
        <v>e</v>
      </c>
      <c r="C111" s="1">
        <v>1</v>
      </c>
      <c r="D111" s="2">
        <v>0.78949999999999998</v>
      </c>
      <c r="E111" s="1">
        <v>19</v>
      </c>
      <c r="F111" s="1">
        <v>3</v>
      </c>
      <c r="G111" s="1">
        <v>200</v>
      </c>
      <c r="H111" s="1">
        <v>117.892</v>
      </c>
      <c r="I111" s="1">
        <v>240.4426</v>
      </c>
      <c r="J111" s="1">
        <v>0</v>
      </c>
      <c r="K111" s="3">
        <v>0</v>
      </c>
    </row>
    <row r="112" spans="1:11" x14ac:dyDescent="0.25">
      <c r="A112" s="1">
        <f t="shared" si="2"/>
        <v>23</v>
      </c>
      <c r="B112" s="1" t="str">
        <f t="shared" si="3"/>
        <v>a</v>
      </c>
      <c r="C112" s="1">
        <v>1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477.08356049999998</v>
      </c>
      <c r="J112" s="1">
        <v>0</v>
      </c>
      <c r="K112" s="3">
        <v>0</v>
      </c>
    </row>
    <row r="113" spans="1:11" x14ac:dyDescent="0.25">
      <c r="A113" s="1">
        <f t="shared" si="2"/>
        <v>23</v>
      </c>
      <c r="B113" s="1" t="str">
        <f t="shared" si="3"/>
        <v>b</v>
      </c>
      <c r="C113" s="1">
        <v>1</v>
      </c>
      <c r="D113" s="1">
        <v>0</v>
      </c>
      <c r="E113" s="1">
        <v>0</v>
      </c>
      <c r="F113" s="1">
        <v>0</v>
      </c>
      <c r="G113" s="1">
        <v>0</v>
      </c>
      <c r="H113" s="1">
        <v>3.7805</v>
      </c>
      <c r="I113" s="1">
        <v>113.06059999999999</v>
      </c>
      <c r="J113" s="1">
        <v>0</v>
      </c>
      <c r="K113" s="3">
        <v>0</v>
      </c>
    </row>
    <row r="114" spans="1:11" x14ac:dyDescent="0.25">
      <c r="A114" s="1">
        <f t="shared" si="2"/>
        <v>23</v>
      </c>
      <c r="B114" s="1" t="str">
        <f t="shared" si="3"/>
        <v>c</v>
      </c>
      <c r="C114" s="1">
        <v>1</v>
      </c>
      <c r="D114" s="1">
        <v>0</v>
      </c>
      <c r="E114" s="1">
        <v>0</v>
      </c>
      <c r="F114" s="1">
        <v>0</v>
      </c>
      <c r="G114" s="1">
        <v>0</v>
      </c>
      <c r="H114" s="1">
        <v>5.5849000000000002</v>
      </c>
      <c r="I114" s="1">
        <v>2035.9829</v>
      </c>
      <c r="J114" s="1">
        <v>0</v>
      </c>
      <c r="K114" s="3">
        <v>0</v>
      </c>
    </row>
    <row r="115" spans="1:11" x14ac:dyDescent="0.25">
      <c r="A115" s="1">
        <f t="shared" si="2"/>
        <v>23</v>
      </c>
      <c r="B115" s="1" t="str">
        <f t="shared" si="3"/>
        <v>d</v>
      </c>
      <c r="C115" s="1">
        <v>30</v>
      </c>
      <c r="D115" s="2">
        <v>0.1673</v>
      </c>
      <c r="E115" s="1">
        <v>44.533299999999997</v>
      </c>
      <c r="F115" s="1">
        <v>1</v>
      </c>
      <c r="G115" s="1">
        <v>104</v>
      </c>
      <c r="H115" s="1">
        <v>7.5429000000000004</v>
      </c>
      <c r="I115" s="1">
        <v>6075.6048000000001</v>
      </c>
      <c r="J115" s="1">
        <v>25</v>
      </c>
      <c r="K115" s="3">
        <v>1.7799999999999999E-3</v>
      </c>
    </row>
    <row r="116" spans="1:11" x14ac:dyDescent="0.25">
      <c r="A116" s="1">
        <f t="shared" si="2"/>
        <v>23</v>
      </c>
      <c r="B116" s="1" t="str">
        <f t="shared" si="3"/>
        <v>e</v>
      </c>
      <c r="C116" s="1">
        <v>1</v>
      </c>
      <c r="D116" s="2">
        <v>0.78949999999999998</v>
      </c>
      <c r="E116" s="1">
        <v>19</v>
      </c>
      <c r="F116" s="1">
        <v>3</v>
      </c>
      <c r="G116" s="1">
        <v>196.7</v>
      </c>
      <c r="H116" s="1">
        <v>114.8104</v>
      </c>
      <c r="I116" s="1">
        <v>7200</v>
      </c>
      <c r="J116" s="1">
        <v>1</v>
      </c>
      <c r="K116" s="3">
        <v>1.6999999999999999E-3</v>
      </c>
    </row>
    <row r="117" spans="1:11" x14ac:dyDescent="0.25">
      <c r="A117" s="1">
        <f t="shared" si="2"/>
        <v>24</v>
      </c>
      <c r="B117" s="1" t="str">
        <f t="shared" si="3"/>
        <v>a</v>
      </c>
      <c r="C117" s="1">
        <v>1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7200</v>
      </c>
      <c r="J117" s="1">
        <v>1</v>
      </c>
      <c r="K117" s="3">
        <v>5.1999999999999998E-3</v>
      </c>
    </row>
    <row r="118" spans="1:11" x14ac:dyDescent="0.25">
      <c r="A118" s="1">
        <f t="shared" si="2"/>
        <v>24</v>
      </c>
      <c r="B118" s="1" t="str">
        <f t="shared" si="3"/>
        <v>b</v>
      </c>
      <c r="C118" s="1">
        <v>1</v>
      </c>
      <c r="D118" s="1">
        <v>0</v>
      </c>
      <c r="E118" s="1">
        <v>0</v>
      </c>
      <c r="F118" s="1">
        <v>0</v>
      </c>
      <c r="G118" s="1">
        <v>0</v>
      </c>
      <c r="H118" s="1">
        <v>3.7805</v>
      </c>
      <c r="I118" s="1">
        <v>7200</v>
      </c>
      <c r="J118" s="1">
        <v>1</v>
      </c>
      <c r="K118" s="3">
        <v>2.8999999999999998E-3</v>
      </c>
    </row>
    <row r="119" spans="1:11" x14ac:dyDescent="0.25">
      <c r="A119" s="1">
        <f t="shared" si="2"/>
        <v>24</v>
      </c>
      <c r="B119" s="1" t="str">
        <f t="shared" si="3"/>
        <v>c</v>
      </c>
      <c r="C119" s="1">
        <v>1</v>
      </c>
      <c r="D119" s="1">
        <v>0</v>
      </c>
      <c r="E119" s="1">
        <v>0</v>
      </c>
      <c r="F119" s="1">
        <v>0</v>
      </c>
      <c r="G119" s="1">
        <v>0</v>
      </c>
      <c r="H119" s="1">
        <v>5.5849000000000002</v>
      </c>
      <c r="I119" s="1">
        <v>7200</v>
      </c>
      <c r="J119" s="1">
        <v>1</v>
      </c>
      <c r="K119" s="3">
        <v>2.7000000000000001E-3</v>
      </c>
    </row>
    <row r="120" spans="1:11" x14ac:dyDescent="0.25">
      <c r="A120" s="1">
        <f t="shared" si="2"/>
        <v>24</v>
      </c>
      <c r="B120" s="1" t="str">
        <f t="shared" si="3"/>
        <v>d</v>
      </c>
      <c r="C120" s="1">
        <v>30</v>
      </c>
      <c r="D120" s="2">
        <v>0.15679999999999999</v>
      </c>
      <c r="E120" s="1">
        <v>44.833300000000001</v>
      </c>
      <c r="F120" s="1">
        <v>1</v>
      </c>
      <c r="G120" s="1">
        <v>104</v>
      </c>
      <c r="H120" s="1">
        <v>7.6647999999999996</v>
      </c>
      <c r="I120" s="1">
        <v>4587.3510999999999</v>
      </c>
      <c r="J120" s="1">
        <v>16</v>
      </c>
      <c r="K120" s="3">
        <v>3.16E-3</v>
      </c>
    </row>
    <row r="121" spans="1:11" x14ac:dyDescent="0.25">
      <c r="A121" s="1">
        <f t="shared" si="2"/>
        <v>24</v>
      </c>
      <c r="B121" s="1" t="str">
        <f t="shared" si="3"/>
        <v>e</v>
      </c>
      <c r="C121" s="1">
        <v>1</v>
      </c>
      <c r="D121" s="2">
        <v>0.8</v>
      </c>
      <c r="E121" s="1">
        <v>20</v>
      </c>
      <c r="F121" s="1">
        <v>4</v>
      </c>
      <c r="G121" s="1">
        <v>193.8</v>
      </c>
      <c r="H121" s="1">
        <v>117.36279999999999</v>
      </c>
      <c r="I121" s="1">
        <v>4723.6952000000001</v>
      </c>
      <c r="J121" s="1">
        <v>0</v>
      </c>
      <c r="K121" s="3">
        <v>0</v>
      </c>
    </row>
    <row r="122" spans="1:11" x14ac:dyDescent="0.25">
      <c r="A122" s="1">
        <f t="shared" si="2"/>
        <v>25</v>
      </c>
      <c r="B122" s="1" t="str">
        <f t="shared" si="3"/>
        <v>a</v>
      </c>
      <c r="C122" s="1">
        <v>1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526.92088049999995</v>
      </c>
      <c r="J122" s="1">
        <v>0</v>
      </c>
      <c r="K122" s="3">
        <v>0</v>
      </c>
    </row>
    <row r="123" spans="1:11" x14ac:dyDescent="0.25">
      <c r="A123" s="1">
        <f t="shared" si="2"/>
        <v>25</v>
      </c>
      <c r="B123" s="1" t="str">
        <f t="shared" si="3"/>
        <v>b</v>
      </c>
      <c r="C123" s="1">
        <v>1</v>
      </c>
      <c r="D123" s="1">
        <v>0</v>
      </c>
      <c r="E123" s="1">
        <v>0</v>
      </c>
      <c r="F123" s="1">
        <v>0</v>
      </c>
      <c r="G123" s="1">
        <v>0</v>
      </c>
      <c r="H123" s="1">
        <v>3.7805</v>
      </c>
      <c r="I123" s="1">
        <v>220.30609999999999</v>
      </c>
      <c r="J123" s="1">
        <v>0</v>
      </c>
      <c r="K123" s="3">
        <v>0</v>
      </c>
    </row>
    <row r="124" spans="1:11" x14ac:dyDescent="0.25">
      <c r="A124" s="1">
        <f t="shared" si="2"/>
        <v>25</v>
      </c>
      <c r="B124" s="1" t="str">
        <f t="shared" si="3"/>
        <v>c</v>
      </c>
      <c r="C124" s="1">
        <v>1</v>
      </c>
      <c r="D124" s="1">
        <v>0</v>
      </c>
      <c r="E124" s="1">
        <v>0</v>
      </c>
      <c r="F124" s="1">
        <v>0</v>
      </c>
      <c r="G124" s="1">
        <v>0</v>
      </c>
      <c r="H124" s="1">
        <v>5.5849000000000002</v>
      </c>
      <c r="I124" s="1">
        <v>102.7145</v>
      </c>
      <c r="J124" s="1">
        <v>0</v>
      </c>
      <c r="K124" s="3">
        <v>0</v>
      </c>
    </row>
    <row r="125" spans="1:11" x14ac:dyDescent="0.25">
      <c r="A125" s="1">
        <f t="shared" si="2"/>
        <v>25</v>
      </c>
      <c r="B125" s="1" t="str">
        <f t="shared" si="3"/>
        <v>d</v>
      </c>
      <c r="C125" s="1">
        <v>30</v>
      </c>
      <c r="D125" s="2">
        <v>0.16320000000000001</v>
      </c>
      <c r="E125" s="1">
        <v>42.2667</v>
      </c>
      <c r="F125" s="1">
        <v>1</v>
      </c>
      <c r="G125" s="1">
        <v>104</v>
      </c>
      <c r="H125" s="1">
        <v>7.5677000000000003</v>
      </c>
      <c r="I125" s="1">
        <v>195.1688</v>
      </c>
      <c r="J125" s="1">
        <v>0</v>
      </c>
      <c r="K125" s="3">
        <v>0</v>
      </c>
    </row>
    <row r="126" spans="1:11" x14ac:dyDescent="0.25">
      <c r="A126" s="1">
        <f t="shared" si="2"/>
        <v>25</v>
      </c>
      <c r="B126" s="1" t="str">
        <f t="shared" si="3"/>
        <v>e</v>
      </c>
      <c r="C126" s="1">
        <v>1</v>
      </c>
      <c r="D126" s="2">
        <v>0.8</v>
      </c>
      <c r="E126" s="1">
        <v>20</v>
      </c>
      <c r="F126" s="1">
        <v>3</v>
      </c>
      <c r="G126" s="1">
        <v>202.3</v>
      </c>
      <c r="H126" s="1">
        <v>121.6558</v>
      </c>
      <c r="I126" s="1">
        <v>176.96119999999999</v>
      </c>
      <c r="J126" s="1">
        <v>0</v>
      </c>
      <c r="K126" s="3">
        <v>0</v>
      </c>
    </row>
    <row r="127" spans="1:11" x14ac:dyDescent="0.25">
      <c r="A127" s="1">
        <f t="shared" si="2"/>
        <v>26</v>
      </c>
      <c r="B127" s="1" t="str">
        <f t="shared" si="3"/>
        <v>a</v>
      </c>
      <c r="C127" s="1">
        <v>1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685.19390849999991</v>
      </c>
      <c r="J127" s="1">
        <v>0</v>
      </c>
      <c r="K127" s="3">
        <v>0</v>
      </c>
    </row>
    <row r="128" spans="1:11" x14ac:dyDescent="0.25">
      <c r="A128" s="1">
        <f t="shared" si="2"/>
        <v>26</v>
      </c>
      <c r="B128" s="1" t="str">
        <f t="shared" si="3"/>
        <v>b</v>
      </c>
      <c r="C128" s="1">
        <v>1</v>
      </c>
      <c r="D128" s="1">
        <v>0</v>
      </c>
      <c r="E128" s="1">
        <v>0</v>
      </c>
      <c r="F128" s="1">
        <v>0</v>
      </c>
      <c r="G128" s="1">
        <v>0</v>
      </c>
      <c r="H128" s="1">
        <v>3.7805</v>
      </c>
      <c r="I128" s="1">
        <v>181.92830000000001</v>
      </c>
      <c r="J128" s="1">
        <v>0</v>
      </c>
      <c r="K128" s="3">
        <v>0</v>
      </c>
    </row>
    <row r="129" spans="1:11" x14ac:dyDescent="0.25">
      <c r="A129" s="1">
        <f t="shared" si="2"/>
        <v>26</v>
      </c>
      <c r="B129" s="1" t="str">
        <f t="shared" si="3"/>
        <v>c</v>
      </c>
      <c r="C129" s="1">
        <v>1</v>
      </c>
      <c r="D129" s="1">
        <v>0</v>
      </c>
      <c r="E129" s="1">
        <v>0</v>
      </c>
      <c r="F129" s="1">
        <v>0</v>
      </c>
      <c r="G129" s="1">
        <v>0</v>
      </c>
      <c r="H129" s="1">
        <v>5.5849000000000002</v>
      </c>
      <c r="I129" s="1">
        <v>190.73660000000001</v>
      </c>
      <c r="J129" s="1">
        <v>0</v>
      </c>
      <c r="K129" s="3">
        <v>0</v>
      </c>
    </row>
    <row r="130" spans="1:11" x14ac:dyDescent="0.25">
      <c r="A130" s="1">
        <f t="shared" si="2"/>
        <v>26</v>
      </c>
      <c r="B130" s="1" t="str">
        <f t="shared" si="3"/>
        <v>d</v>
      </c>
      <c r="C130" s="1">
        <v>30</v>
      </c>
      <c r="D130" s="2">
        <v>0.159</v>
      </c>
      <c r="E130" s="1">
        <v>44.3</v>
      </c>
      <c r="F130" s="1">
        <v>1</v>
      </c>
      <c r="G130" s="1">
        <v>104</v>
      </c>
      <c r="H130" s="1">
        <v>7.5521000000000003</v>
      </c>
      <c r="I130" s="1">
        <v>266.98090000000002</v>
      </c>
      <c r="J130" s="1">
        <v>0</v>
      </c>
      <c r="K130" s="3">
        <v>0</v>
      </c>
    </row>
    <row r="131" spans="1:11" x14ac:dyDescent="0.25">
      <c r="A131" s="1">
        <f t="shared" si="2"/>
        <v>26</v>
      </c>
      <c r="B131" s="1" t="str">
        <f t="shared" si="3"/>
        <v>e</v>
      </c>
      <c r="C131" s="1">
        <v>1</v>
      </c>
      <c r="D131" s="2">
        <v>0.76470000000000005</v>
      </c>
      <c r="E131" s="1">
        <v>17</v>
      </c>
      <c r="F131" s="1">
        <v>3</v>
      </c>
      <c r="G131" s="1">
        <v>191.7</v>
      </c>
      <c r="H131" s="1">
        <v>111.4228</v>
      </c>
      <c r="I131" s="1">
        <v>185.0419</v>
      </c>
      <c r="J131" s="1">
        <v>0</v>
      </c>
      <c r="K131" s="3">
        <v>0</v>
      </c>
    </row>
    <row r="132" spans="1:11" x14ac:dyDescent="0.25">
      <c r="A132" s="1">
        <f t="shared" si="2"/>
        <v>27</v>
      </c>
      <c r="B132" s="1" t="str">
        <f t="shared" si="3"/>
        <v>a</v>
      </c>
      <c r="C132" s="1">
        <v>1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472.93362449999995</v>
      </c>
      <c r="J132" s="1">
        <v>0</v>
      </c>
      <c r="K132" s="3">
        <v>0</v>
      </c>
    </row>
    <row r="133" spans="1:11" x14ac:dyDescent="0.25">
      <c r="A133" s="1">
        <f t="shared" si="2"/>
        <v>27</v>
      </c>
      <c r="B133" s="1" t="str">
        <f t="shared" si="3"/>
        <v>b</v>
      </c>
      <c r="C133" s="1">
        <v>1</v>
      </c>
      <c r="D133" s="1">
        <v>0</v>
      </c>
      <c r="E133" s="1">
        <v>0</v>
      </c>
      <c r="F133" s="1">
        <v>0</v>
      </c>
      <c r="G133" s="1">
        <v>0</v>
      </c>
      <c r="H133" s="1">
        <v>3.7805</v>
      </c>
      <c r="I133" s="1">
        <v>264.90230000000003</v>
      </c>
      <c r="J133" s="1">
        <v>0</v>
      </c>
      <c r="K133" s="3">
        <v>0</v>
      </c>
    </row>
    <row r="134" spans="1:11" x14ac:dyDescent="0.25">
      <c r="A134" s="1">
        <f t="shared" si="2"/>
        <v>27</v>
      </c>
      <c r="B134" s="1" t="str">
        <f t="shared" si="3"/>
        <v>c</v>
      </c>
      <c r="C134" s="1">
        <v>1</v>
      </c>
      <c r="D134" s="1">
        <v>0</v>
      </c>
      <c r="E134" s="1">
        <v>0</v>
      </c>
      <c r="F134" s="1">
        <v>0</v>
      </c>
      <c r="G134" s="1">
        <v>0</v>
      </c>
      <c r="H134" s="1">
        <v>5.5849000000000002</v>
      </c>
      <c r="I134" s="1">
        <v>174.16419999999999</v>
      </c>
      <c r="J134" s="1">
        <v>0</v>
      </c>
      <c r="K134" s="3">
        <v>0</v>
      </c>
    </row>
    <row r="135" spans="1:11" x14ac:dyDescent="0.25">
      <c r="A135" s="1">
        <f t="shared" si="2"/>
        <v>27</v>
      </c>
      <c r="B135" s="1" t="str">
        <f t="shared" si="3"/>
        <v>d</v>
      </c>
      <c r="C135" s="1">
        <v>30</v>
      </c>
      <c r="D135" s="2">
        <v>0.17960000000000001</v>
      </c>
      <c r="E135" s="1">
        <v>43</v>
      </c>
      <c r="F135" s="1">
        <v>1</v>
      </c>
      <c r="G135" s="1">
        <v>104</v>
      </c>
      <c r="H135" s="1">
        <v>7.3794000000000004</v>
      </c>
      <c r="I135" s="1">
        <v>284.07749999999999</v>
      </c>
      <c r="J135" s="1">
        <v>0</v>
      </c>
      <c r="K135" s="3">
        <v>0</v>
      </c>
    </row>
    <row r="136" spans="1:11" x14ac:dyDescent="0.25">
      <c r="A136" s="1">
        <f t="shared" ref="A136:A176" si="4">A131+1</f>
        <v>27</v>
      </c>
      <c r="B136" s="1" t="str">
        <f t="shared" ref="B136:B176" si="5">B131</f>
        <v>e</v>
      </c>
      <c r="C136" s="1">
        <v>1</v>
      </c>
      <c r="D136" s="2">
        <v>0.81820000000000004</v>
      </c>
      <c r="E136" s="1">
        <v>22</v>
      </c>
      <c r="F136" s="1">
        <v>3</v>
      </c>
      <c r="G136" s="1">
        <v>199</v>
      </c>
      <c r="H136" s="1">
        <v>121.49079999999999</v>
      </c>
      <c r="I136" s="1">
        <v>164.81559999999999</v>
      </c>
      <c r="J136" s="1">
        <v>0</v>
      </c>
      <c r="K136" s="3">
        <v>0</v>
      </c>
    </row>
    <row r="137" spans="1:11" x14ac:dyDescent="0.25">
      <c r="A137" s="1">
        <f t="shared" si="4"/>
        <v>28</v>
      </c>
      <c r="B137" s="1" t="str">
        <f t="shared" si="5"/>
        <v>a</v>
      </c>
      <c r="C137" s="1">
        <v>1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7200</v>
      </c>
      <c r="J137" s="1">
        <v>1</v>
      </c>
      <c r="K137" s="3">
        <v>4.1000000000000003E-3</v>
      </c>
    </row>
    <row r="138" spans="1:11" x14ac:dyDescent="0.25">
      <c r="A138" s="1">
        <f t="shared" si="4"/>
        <v>28</v>
      </c>
      <c r="B138" s="1" t="str">
        <f t="shared" si="5"/>
        <v>b</v>
      </c>
      <c r="C138" s="1">
        <v>1</v>
      </c>
      <c r="D138" s="1">
        <v>0</v>
      </c>
      <c r="E138" s="1">
        <v>0</v>
      </c>
      <c r="F138" s="1">
        <v>0</v>
      </c>
      <c r="G138" s="1">
        <v>0</v>
      </c>
      <c r="H138" s="1">
        <v>3.7805</v>
      </c>
      <c r="I138" s="1">
        <v>7200</v>
      </c>
      <c r="J138" s="1">
        <v>1</v>
      </c>
      <c r="K138" s="3">
        <v>4.3E-3</v>
      </c>
    </row>
    <row r="139" spans="1:11" x14ac:dyDescent="0.25">
      <c r="A139" s="1">
        <f t="shared" si="4"/>
        <v>28</v>
      </c>
      <c r="B139" s="1" t="str">
        <f t="shared" si="5"/>
        <v>c</v>
      </c>
      <c r="C139" s="1">
        <v>1</v>
      </c>
      <c r="D139" s="1">
        <v>0</v>
      </c>
      <c r="E139" s="1">
        <v>0</v>
      </c>
      <c r="F139" s="1">
        <v>0</v>
      </c>
      <c r="G139" s="1">
        <v>0</v>
      </c>
      <c r="H139" s="1">
        <v>5.5849000000000002</v>
      </c>
      <c r="I139" s="1">
        <v>7200</v>
      </c>
      <c r="J139" s="1">
        <v>1</v>
      </c>
      <c r="K139" s="3">
        <v>3.8999999999999998E-3</v>
      </c>
    </row>
    <row r="140" spans="1:11" x14ac:dyDescent="0.25">
      <c r="A140" s="1">
        <f t="shared" si="4"/>
        <v>28</v>
      </c>
      <c r="B140" s="1" t="str">
        <f t="shared" si="5"/>
        <v>d</v>
      </c>
      <c r="C140" s="1">
        <v>30</v>
      </c>
      <c r="D140" s="2">
        <v>0.14449999999999999</v>
      </c>
      <c r="E140" s="1">
        <v>44.3</v>
      </c>
      <c r="F140" s="1">
        <v>1</v>
      </c>
      <c r="G140" s="1">
        <v>104</v>
      </c>
      <c r="H140" s="1">
        <v>7.4752999999999998</v>
      </c>
      <c r="I140" s="1">
        <v>7200</v>
      </c>
      <c r="J140" s="1">
        <v>30</v>
      </c>
      <c r="K140" s="3">
        <v>3.0999999999999999E-3</v>
      </c>
    </row>
    <row r="141" spans="1:11" x14ac:dyDescent="0.25">
      <c r="A141" s="1">
        <f t="shared" si="4"/>
        <v>28</v>
      </c>
      <c r="B141" s="1" t="str">
        <f t="shared" si="5"/>
        <v>e</v>
      </c>
      <c r="C141" s="1">
        <v>1</v>
      </c>
      <c r="D141" s="2">
        <v>0.84209999999999996</v>
      </c>
      <c r="E141" s="1">
        <v>19</v>
      </c>
      <c r="F141" s="1">
        <v>3</v>
      </c>
      <c r="G141" s="1">
        <v>197.3</v>
      </c>
      <c r="H141" s="1">
        <v>114.6756</v>
      </c>
      <c r="I141" s="1">
        <v>4168.2820000000002</v>
      </c>
      <c r="J141" s="1">
        <v>0</v>
      </c>
      <c r="K141" s="3">
        <v>0</v>
      </c>
    </row>
    <row r="142" spans="1:11" x14ac:dyDescent="0.25">
      <c r="A142" s="1">
        <f t="shared" si="4"/>
        <v>29</v>
      </c>
      <c r="B142" s="1" t="str">
        <f t="shared" si="5"/>
        <v>a</v>
      </c>
      <c r="C142" s="1">
        <v>1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1354.8815505</v>
      </c>
      <c r="J142" s="1">
        <v>0</v>
      </c>
      <c r="K142" s="3">
        <v>0</v>
      </c>
    </row>
    <row r="143" spans="1:11" x14ac:dyDescent="0.25">
      <c r="A143" s="1">
        <f t="shared" si="4"/>
        <v>29</v>
      </c>
      <c r="B143" s="1" t="str">
        <f t="shared" si="5"/>
        <v>b</v>
      </c>
      <c r="C143" s="1">
        <v>1</v>
      </c>
      <c r="D143" s="1">
        <v>0</v>
      </c>
      <c r="E143" s="1">
        <v>0</v>
      </c>
      <c r="F143" s="1">
        <v>0</v>
      </c>
      <c r="G143" s="1">
        <v>0</v>
      </c>
      <c r="H143" s="1">
        <v>3.7805</v>
      </c>
      <c r="I143" s="1">
        <v>587.36300000000006</v>
      </c>
      <c r="J143" s="1">
        <v>0</v>
      </c>
      <c r="K143" s="3">
        <v>0</v>
      </c>
    </row>
    <row r="144" spans="1:11" x14ac:dyDescent="0.25">
      <c r="A144" s="1">
        <f t="shared" si="4"/>
        <v>29</v>
      </c>
      <c r="B144" s="1" t="str">
        <f t="shared" si="5"/>
        <v>c</v>
      </c>
      <c r="C144" s="1">
        <v>1</v>
      </c>
      <c r="D144" s="1">
        <v>0</v>
      </c>
      <c r="E144" s="1">
        <v>0</v>
      </c>
      <c r="F144" s="1">
        <v>0</v>
      </c>
      <c r="G144" s="1">
        <v>0</v>
      </c>
      <c r="H144" s="1">
        <v>5.5849000000000002</v>
      </c>
      <c r="I144" s="1">
        <v>461.21100000000001</v>
      </c>
      <c r="J144" s="1">
        <v>0</v>
      </c>
      <c r="K144" s="3">
        <v>0</v>
      </c>
    </row>
    <row r="145" spans="1:11" x14ac:dyDescent="0.25">
      <c r="A145" s="1">
        <f t="shared" si="4"/>
        <v>29</v>
      </c>
      <c r="B145" s="1" t="str">
        <f t="shared" si="5"/>
        <v>d</v>
      </c>
      <c r="C145" s="1">
        <v>30</v>
      </c>
      <c r="D145" s="2">
        <v>0.14649999999999999</v>
      </c>
      <c r="E145" s="1">
        <v>44.433300000000003</v>
      </c>
      <c r="F145" s="1">
        <v>1</v>
      </c>
      <c r="G145" s="1">
        <v>104</v>
      </c>
      <c r="H145" s="1">
        <v>7.4147999999999996</v>
      </c>
      <c r="I145" s="1">
        <v>555.58889999999997</v>
      </c>
      <c r="J145" s="1">
        <v>0</v>
      </c>
      <c r="K145" s="3">
        <v>0</v>
      </c>
    </row>
    <row r="146" spans="1:11" x14ac:dyDescent="0.25">
      <c r="A146" s="1">
        <f t="shared" si="4"/>
        <v>29</v>
      </c>
      <c r="B146" s="1" t="str">
        <f t="shared" si="5"/>
        <v>e</v>
      </c>
      <c r="C146" s="1">
        <v>1</v>
      </c>
      <c r="D146" s="2">
        <v>0.84209999999999996</v>
      </c>
      <c r="E146" s="1">
        <v>19</v>
      </c>
      <c r="F146" s="1">
        <v>3</v>
      </c>
      <c r="G146" s="1">
        <v>196.3</v>
      </c>
      <c r="H146" s="1">
        <v>113.76730000000001</v>
      </c>
      <c r="I146" s="1">
        <v>1021.9049</v>
      </c>
      <c r="J146" s="1">
        <v>0</v>
      </c>
      <c r="K146" s="3">
        <v>0</v>
      </c>
    </row>
    <row r="147" spans="1:11" x14ac:dyDescent="0.25">
      <c r="A147" s="1">
        <f t="shared" si="4"/>
        <v>30</v>
      </c>
      <c r="B147" s="1" t="str">
        <f t="shared" si="5"/>
        <v>a</v>
      </c>
      <c r="C147" s="1">
        <v>1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7200</v>
      </c>
      <c r="J147" s="1">
        <v>1</v>
      </c>
      <c r="K147" s="3">
        <v>2.2000000000000001E-3</v>
      </c>
    </row>
    <row r="148" spans="1:11" x14ac:dyDescent="0.25">
      <c r="A148" s="1">
        <f t="shared" si="4"/>
        <v>30</v>
      </c>
      <c r="B148" s="1" t="str">
        <f t="shared" si="5"/>
        <v>b</v>
      </c>
      <c r="C148" s="1">
        <v>1</v>
      </c>
      <c r="D148" s="1">
        <v>0</v>
      </c>
      <c r="E148" s="1">
        <v>0</v>
      </c>
      <c r="F148" s="1">
        <v>0</v>
      </c>
      <c r="G148" s="1">
        <v>0</v>
      </c>
      <c r="H148" s="1">
        <v>3.7805</v>
      </c>
      <c r="I148" s="1">
        <v>7200</v>
      </c>
      <c r="J148" s="1">
        <v>1</v>
      </c>
      <c r="K148" s="3">
        <v>3.5000000000000001E-3</v>
      </c>
    </row>
    <row r="149" spans="1:11" x14ac:dyDescent="0.25">
      <c r="A149" s="1">
        <f t="shared" si="4"/>
        <v>30</v>
      </c>
      <c r="B149" s="1" t="str">
        <f t="shared" si="5"/>
        <v>c</v>
      </c>
      <c r="C149" s="1">
        <v>1</v>
      </c>
      <c r="D149" s="1">
        <v>0</v>
      </c>
      <c r="E149" s="1">
        <v>0</v>
      </c>
      <c r="F149" s="1">
        <v>0</v>
      </c>
      <c r="G149" s="1">
        <v>0</v>
      </c>
      <c r="H149" s="1">
        <v>5.5849000000000002</v>
      </c>
      <c r="I149" s="1">
        <v>695.33500000000004</v>
      </c>
      <c r="J149" s="1">
        <v>0</v>
      </c>
      <c r="K149" s="3">
        <v>0</v>
      </c>
    </row>
    <row r="150" spans="1:11" x14ac:dyDescent="0.25">
      <c r="A150" s="1">
        <f t="shared" si="4"/>
        <v>30</v>
      </c>
      <c r="B150" s="1" t="str">
        <f t="shared" si="5"/>
        <v>d</v>
      </c>
      <c r="C150" s="1">
        <v>30</v>
      </c>
      <c r="D150" s="2">
        <v>0.16020000000000001</v>
      </c>
      <c r="E150" s="1">
        <v>43.8</v>
      </c>
      <c r="F150" s="1">
        <v>1</v>
      </c>
      <c r="G150" s="1">
        <v>104</v>
      </c>
      <c r="H150" s="1">
        <v>7.3628</v>
      </c>
      <c r="I150" s="1">
        <v>5021.1538</v>
      </c>
      <c r="J150" s="1">
        <v>20</v>
      </c>
      <c r="K150" s="3">
        <v>4.4299999999999999E-3</v>
      </c>
    </row>
    <row r="151" spans="1:11" x14ac:dyDescent="0.25">
      <c r="A151" s="1">
        <f t="shared" si="4"/>
        <v>30</v>
      </c>
      <c r="B151" s="1" t="str">
        <f t="shared" si="5"/>
        <v>e</v>
      </c>
      <c r="C151" s="1">
        <v>1</v>
      </c>
      <c r="D151" s="2">
        <v>0.82350000000000001</v>
      </c>
      <c r="E151" s="1">
        <v>17</v>
      </c>
      <c r="F151" s="1">
        <v>3</v>
      </c>
      <c r="G151" s="1">
        <v>189</v>
      </c>
      <c r="H151" s="1">
        <v>104.15649999999999</v>
      </c>
      <c r="I151" s="1">
        <v>708.20609999999999</v>
      </c>
      <c r="J151" s="1">
        <v>0</v>
      </c>
      <c r="K151" s="3">
        <v>0</v>
      </c>
    </row>
    <row r="152" spans="1:11" x14ac:dyDescent="0.25">
      <c r="A152" s="1">
        <f t="shared" si="4"/>
        <v>31</v>
      </c>
      <c r="B152" s="1" t="str">
        <f t="shared" si="5"/>
        <v>a</v>
      </c>
      <c r="C152" s="1">
        <v>1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2631.1379804999997</v>
      </c>
      <c r="J152" s="1">
        <v>0</v>
      </c>
      <c r="K152" s="3">
        <v>0</v>
      </c>
    </row>
    <row r="153" spans="1:11" x14ac:dyDescent="0.25">
      <c r="A153" s="1">
        <f t="shared" si="4"/>
        <v>31</v>
      </c>
      <c r="B153" s="1" t="str">
        <f t="shared" si="5"/>
        <v>b</v>
      </c>
      <c r="C153" s="1">
        <v>1</v>
      </c>
      <c r="D153" s="1">
        <v>0</v>
      </c>
      <c r="E153" s="1">
        <v>0</v>
      </c>
      <c r="F153" s="1">
        <v>0</v>
      </c>
      <c r="G153" s="1">
        <v>0</v>
      </c>
      <c r="H153" s="1">
        <v>3.7805</v>
      </c>
      <c r="I153" s="1">
        <v>723.9914</v>
      </c>
      <c r="J153" s="1">
        <v>0</v>
      </c>
      <c r="K153" s="3">
        <v>0</v>
      </c>
    </row>
    <row r="154" spans="1:11" x14ac:dyDescent="0.25">
      <c r="A154" s="1">
        <f t="shared" si="4"/>
        <v>31</v>
      </c>
      <c r="B154" s="1" t="str">
        <f t="shared" si="5"/>
        <v>c</v>
      </c>
      <c r="C154" s="1">
        <v>1</v>
      </c>
      <c r="D154" s="1">
        <v>0</v>
      </c>
      <c r="E154" s="1">
        <v>0</v>
      </c>
      <c r="F154" s="1">
        <v>0</v>
      </c>
      <c r="G154" s="1">
        <v>0</v>
      </c>
      <c r="H154" s="1">
        <v>5.5849000000000002</v>
      </c>
      <c r="I154" s="1">
        <v>1728.4248</v>
      </c>
      <c r="J154" s="1">
        <v>0</v>
      </c>
      <c r="K154" s="3">
        <v>0</v>
      </c>
    </row>
    <row r="155" spans="1:11" x14ac:dyDescent="0.25">
      <c r="A155" s="1">
        <f t="shared" si="4"/>
        <v>31</v>
      </c>
      <c r="B155" s="1" t="str">
        <f t="shared" si="5"/>
        <v>d</v>
      </c>
      <c r="C155" s="1">
        <v>30</v>
      </c>
      <c r="D155" s="2">
        <v>0.17019999999999999</v>
      </c>
      <c r="E155" s="1">
        <v>44.066699999999997</v>
      </c>
      <c r="F155" s="1">
        <v>1</v>
      </c>
      <c r="G155" s="1">
        <v>104</v>
      </c>
      <c r="H155" s="1">
        <v>7.3868</v>
      </c>
      <c r="I155" s="1">
        <v>5600.1782000000003</v>
      </c>
      <c r="J155" s="1">
        <v>21</v>
      </c>
      <c r="K155" s="3">
        <v>7.5199999999999998E-3</v>
      </c>
    </row>
    <row r="156" spans="1:11" x14ac:dyDescent="0.25">
      <c r="A156" s="1">
        <f t="shared" si="4"/>
        <v>31</v>
      </c>
      <c r="B156" s="1" t="str">
        <f t="shared" si="5"/>
        <v>e</v>
      </c>
      <c r="C156" s="1">
        <v>1</v>
      </c>
      <c r="D156" s="2">
        <v>0.75</v>
      </c>
      <c r="E156" s="1">
        <v>20</v>
      </c>
      <c r="F156" s="1">
        <v>3</v>
      </c>
      <c r="G156" s="1">
        <v>197.7</v>
      </c>
      <c r="H156" s="1">
        <v>112.0667</v>
      </c>
      <c r="I156" s="1">
        <v>7200</v>
      </c>
      <c r="J156" s="1">
        <v>1</v>
      </c>
      <c r="K156" s="3">
        <v>7.4000000000000003E-3</v>
      </c>
    </row>
    <row r="157" spans="1:11" x14ac:dyDescent="0.25">
      <c r="A157" s="1">
        <f t="shared" si="4"/>
        <v>32</v>
      </c>
      <c r="B157" s="1" t="str">
        <f t="shared" si="5"/>
        <v>a</v>
      </c>
      <c r="C157" s="1">
        <v>1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1176.5038544999998</v>
      </c>
      <c r="J157" s="1">
        <v>0</v>
      </c>
      <c r="K157" s="3">
        <v>0</v>
      </c>
    </row>
    <row r="158" spans="1:11" x14ac:dyDescent="0.25">
      <c r="A158" s="1">
        <f t="shared" si="4"/>
        <v>32</v>
      </c>
      <c r="B158" s="1" t="str">
        <f t="shared" si="5"/>
        <v>b</v>
      </c>
      <c r="C158" s="1">
        <v>1</v>
      </c>
      <c r="D158" s="1">
        <v>0</v>
      </c>
      <c r="E158" s="1">
        <v>0</v>
      </c>
      <c r="F158" s="1">
        <v>0</v>
      </c>
      <c r="G158" s="1">
        <v>0</v>
      </c>
      <c r="H158" s="1">
        <v>3.7805</v>
      </c>
      <c r="I158" s="1">
        <v>328.97379999999998</v>
      </c>
      <c r="J158" s="1">
        <v>0</v>
      </c>
      <c r="K158" s="3">
        <v>0</v>
      </c>
    </row>
    <row r="159" spans="1:11" x14ac:dyDescent="0.25">
      <c r="A159" s="1">
        <f t="shared" si="4"/>
        <v>32</v>
      </c>
      <c r="B159" s="1" t="str">
        <f t="shared" si="5"/>
        <v>c</v>
      </c>
      <c r="C159" s="1">
        <v>1</v>
      </c>
      <c r="D159" s="1">
        <v>0</v>
      </c>
      <c r="E159" s="1">
        <v>0</v>
      </c>
      <c r="F159" s="1">
        <v>0</v>
      </c>
      <c r="G159" s="1">
        <v>0</v>
      </c>
      <c r="H159" s="1">
        <v>5.5849000000000002</v>
      </c>
      <c r="I159" s="1">
        <v>429.16649999999998</v>
      </c>
      <c r="J159" s="1">
        <v>0</v>
      </c>
      <c r="K159" s="3">
        <v>0</v>
      </c>
    </row>
    <row r="160" spans="1:11" x14ac:dyDescent="0.25">
      <c r="A160" s="1">
        <f t="shared" si="4"/>
        <v>32</v>
      </c>
      <c r="B160" s="1" t="str">
        <f t="shared" si="5"/>
        <v>d</v>
      </c>
      <c r="C160" s="1">
        <v>30</v>
      </c>
      <c r="D160" s="2">
        <v>0.15179999999999999</v>
      </c>
      <c r="E160" s="1">
        <v>43.4</v>
      </c>
      <c r="F160" s="1">
        <v>1</v>
      </c>
      <c r="G160" s="1">
        <v>104</v>
      </c>
      <c r="H160" s="1">
        <v>7.3700999999999999</v>
      </c>
      <c r="I160" s="1">
        <v>273.73020000000002</v>
      </c>
      <c r="J160" s="1">
        <v>0</v>
      </c>
      <c r="K160" s="3">
        <v>0</v>
      </c>
    </row>
    <row r="161" spans="1:11" x14ac:dyDescent="0.25">
      <c r="A161" s="1">
        <f t="shared" si="4"/>
        <v>32</v>
      </c>
      <c r="B161" s="1" t="str">
        <f t="shared" si="5"/>
        <v>e</v>
      </c>
      <c r="C161" s="1">
        <v>1</v>
      </c>
      <c r="D161" s="2">
        <v>0.8095</v>
      </c>
      <c r="E161" s="1">
        <v>21</v>
      </c>
      <c r="F161" s="1">
        <v>3</v>
      </c>
      <c r="G161" s="1">
        <v>202.3</v>
      </c>
      <c r="H161" s="1">
        <v>114.9567</v>
      </c>
      <c r="I161" s="1">
        <v>307.88650000000001</v>
      </c>
      <c r="J161" s="1">
        <v>0</v>
      </c>
      <c r="K161" s="3">
        <v>0</v>
      </c>
    </row>
    <row r="162" spans="1:11" x14ac:dyDescent="0.25">
      <c r="A162" s="1">
        <f t="shared" si="4"/>
        <v>33</v>
      </c>
      <c r="B162" s="1" t="str">
        <f t="shared" si="5"/>
        <v>a</v>
      </c>
      <c r="C162" s="1">
        <v>1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1853.7840495</v>
      </c>
      <c r="J162" s="1">
        <v>0</v>
      </c>
      <c r="K162" s="3">
        <v>0</v>
      </c>
    </row>
    <row r="163" spans="1:11" x14ac:dyDescent="0.25">
      <c r="A163" s="1">
        <f t="shared" si="4"/>
        <v>33</v>
      </c>
      <c r="B163" s="1" t="str">
        <f t="shared" si="5"/>
        <v>b</v>
      </c>
      <c r="C163" s="1">
        <v>1</v>
      </c>
      <c r="D163" s="1">
        <v>0</v>
      </c>
      <c r="E163" s="1">
        <v>0</v>
      </c>
      <c r="F163" s="1">
        <v>0</v>
      </c>
      <c r="G163" s="1">
        <v>0</v>
      </c>
      <c r="H163" s="1">
        <v>3.7805</v>
      </c>
      <c r="I163" s="1">
        <v>2498.3157000000001</v>
      </c>
      <c r="J163" s="1">
        <v>0</v>
      </c>
      <c r="K163" s="3">
        <v>0</v>
      </c>
    </row>
    <row r="164" spans="1:11" x14ac:dyDescent="0.25">
      <c r="A164" s="1">
        <f t="shared" si="4"/>
        <v>33</v>
      </c>
      <c r="B164" s="1" t="str">
        <f t="shared" si="5"/>
        <v>c</v>
      </c>
      <c r="C164" s="1">
        <v>1</v>
      </c>
      <c r="D164" s="1">
        <v>0</v>
      </c>
      <c r="E164" s="1">
        <v>0</v>
      </c>
      <c r="F164" s="1">
        <v>0</v>
      </c>
      <c r="G164" s="1">
        <v>0</v>
      </c>
      <c r="H164" s="1">
        <v>5.5849000000000002</v>
      </c>
      <c r="I164" s="1">
        <v>1124.3974000000001</v>
      </c>
      <c r="J164" s="1">
        <v>0</v>
      </c>
      <c r="K164" s="3">
        <v>0</v>
      </c>
    </row>
    <row r="165" spans="1:11" x14ac:dyDescent="0.25">
      <c r="A165" s="1">
        <f t="shared" si="4"/>
        <v>33</v>
      </c>
      <c r="B165" s="1" t="str">
        <f t="shared" si="5"/>
        <v>d</v>
      </c>
      <c r="C165" s="1">
        <v>30</v>
      </c>
      <c r="D165" s="2">
        <v>0.1638</v>
      </c>
      <c r="E165" s="1">
        <v>43.166699999999999</v>
      </c>
      <c r="F165" s="1">
        <v>1</v>
      </c>
      <c r="G165" s="1">
        <v>104</v>
      </c>
      <c r="H165" s="1">
        <v>7.3281000000000001</v>
      </c>
      <c r="I165" s="1">
        <v>1280.8258000000001</v>
      </c>
      <c r="J165" s="1">
        <v>0</v>
      </c>
      <c r="K165" s="3">
        <v>0</v>
      </c>
    </row>
    <row r="166" spans="1:11" x14ac:dyDescent="0.25">
      <c r="A166" s="1">
        <f t="shared" si="4"/>
        <v>33</v>
      </c>
      <c r="B166" s="1" t="str">
        <f t="shared" si="5"/>
        <v>e</v>
      </c>
      <c r="C166" s="1">
        <v>1</v>
      </c>
      <c r="D166" s="2">
        <v>0.68179999999999996</v>
      </c>
      <c r="E166" s="1">
        <v>22</v>
      </c>
      <c r="F166" s="1">
        <v>3</v>
      </c>
      <c r="G166" s="1">
        <v>194.7</v>
      </c>
      <c r="H166" s="1">
        <v>110.35980000000001</v>
      </c>
      <c r="I166" s="1">
        <v>894.93709999999999</v>
      </c>
      <c r="J166" s="1">
        <v>0</v>
      </c>
      <c r="K166" s="3">
        <v>0</v>
      </c>
    </row>
    <row r="167" spans="1:11" x14ac:dyDescent="0.25">
      <c r="A167" s="1">
        <f t="shared" si="4"/>
        <v>34</v>
      </c>
      <c r="B167" s="1" t="str">
        <f t="shared" si="5"/>
        <v>a</v>
      </c>
      <c r="C167" s="1">
        <v>1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7200</v>
      </c>
      <c r="J167" s="1">
        <v>1</v>
      </c>
      <c r="K167" s="3">
        <v>2.06E-2</v>
      </c>
    </row>
    <row r="168" spans="1:11" x14ac:dyDescent="0.25">
      <c r="A168" s="1">
        <f t="shared" si="4"/>
        <v>34</v>
      </c>
      <c r="B168" s="1" t="str">
        <f t="shared" si="5"/>
        <v>b</v>
      </c>
      <c r="C168" s="1">
        <v>1</v>
      </c>
      <c r="D168" s="1">
        <v>0</v>
      </c>
      <c r="E168" s="1">
        <v>0</v>
      </c>
      <c r="F168" s="1">
        <v>0</v>
      </c>
      <c r="G168" s="1">
        <v>0</v>
      </c>
      <c r="H168" s="1">
        <v>3.7805</v>
      </c>
      <c r="I168" s="1">
        <v>7200</v>
      </c>
      <c r="J168" s="1">
        <v>1</v>
      </c>
      <c r="K168" s="3">
        <v>1.15E-2</v>
      </c>
    </row>
    <row r="169" spans="1:11" x14ac:dyDescent="0.25">
      <c r="A169" s="1">
        <f t="shared" si="4"/>
        <v>34</v>
      </c>
      <c r="B169" s="1" t="str">
        <f t="shared" si="5"/>
        <v>c</v>
      </c>
      <c r="C169" s="1">
        <v>1</v>
      </c>
      <c r="D169" s="1">
        <v>0</v>
      </c>
      <c r="E169" s="1">
        <v>0</v>
      </c>
      <c r="F169" s="1">
        <v>0</v>
      </c>
      <c r="G169" s="1">
        <v>0</v>
      </c>
      <c r="H169" s="1">
        <v>5.5849000000000002</v>
      </c>
      <c r="I169" s="1">
        <v>7200</v>
      </c>
      <c r="J169" s="1">
        <v>1</v>
      </c>
      <c r="K169" s="3">
        <v>1.3899999999999999E-2</v>
      </c>
    </row>
    <row r="170" spans="1:11" x14ac:dyDescent="0.25">
      <c r="A170" s="1">
        <f t="shared" si="4"/>
        <v>34</v>
      </c>
      <c r="B170" s="1" t="str">
        <f t="shared" si="5"/>
        <v>d</v>
      </c>
      <c r="C170" s="1">
        <v>30</v>
      </c>
      <c r="D170" s="2">
        <v>0.1585</v>
      </c>
      <c r="E170" s="1">
        <v>42.033299999999997</v>
      </c>
      <c r="F170" s="1">
        <v>1</v>
      </c>
      <c r="G170" s="1">
        <v>104</v>
      </c>
      <c r="H170" s="1">
        <v>7.37</v>
      </c>
      <c r="I170" s="1">
        <v>5390.7203</v>
      </c>
      <c r="J170" s="1">
        <v>19</v>
      </c>
      <c r="K170" s="3">
        <v>4.9100000000000003E-3</v>
      </c>
    </row>
    <row r="171" spans="1:11" x14ac:dyDescent="0.25">
      <c r="A171" s="1">
        <f t="shared" si="4"/>
        <v>34</v>
      </c>
      <c r="B171" s="1" t="str">
        <f t="shared" si="5"/>
        <v>e</v>
      </c>
      <c r="C171" s="1">
        <v>1</v>
      </c>
      <c r="D171" s="2">
        <v>0.77780000000000005</v>
      </c>
      <c r="E171" s="1">
        <v>18</v>
      </c>
      <c r="F171" s="1">
        <v>3</v>
      </c>
      <c r="G171" s="1">
        <v>195</v>
      </c>
      <c r="H171" s="1">
        <v>107.4699</v>
      </c>
      <c r="I171" s="1">
        <v>888.24789999999996</v>
      </c>
      <c r="J171" s="1">
        <v>0</v>
      </c>
      <c r="K171" s="3">
        <v>0</v>
      </c>
    </row>
    <row r="172" spans="1:11" x14ac:dyDescent="0.25">
      <c r="A172" s="1">
        <f t="shared" si="4"/>
        <v>35</v>
      </c>
      <c r="B172" s="1" t="str">
        <f t="shared" si="5"/>
        <v>a</v>
      </c>
      <c r="C172" s="1">
        <v>1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4281.2991760000004</v>
      </c>
      <c r="J172" s="1">
        <v>0</v>
      </c>
      <c r="K172" s="3">
        <v>0</v>
      </c>
    </row>
    <row r="173" spans="1:11" x14ac:dyDescent="0.25">
      <c r="A173" s="1">
        <f t="shared" si="4"/>
        <v>35</v>
      </c>
      <c r="B173" s="1" t="str">
        <f t="shared" si="5"/>
        <v>b</v>
      </c>
      <c r="C173" s="1">
        <v>1</v>
      </c>
      <c r="D173" s="1">
        <v>0</v>
      </c>
      <c r="E173" s="1">
        <v>0</v>
      </c>
      <c r="F173" s="1">
        <v>0</v>
      </c>
      <c r="G173" s="1">
        <v>0</v>
      </c>
      <c r="H173" s="1">
        <v>3.7805</v>
      </c>
      <c r="I173" s="1">
        <v>308.79450000000003</v>
      </c>
      <c r="J173" s="1">
        <v>0</v>
      </c>
      <c r="K173" s="3">
        <v>0</v>
      </c>
    </row>
    <row r="174" spans="1:11" x14ac:dyDescent="0.25">
      <c r="A174" s="1">
        <f t="shared" si="4"/>
        <v>35</v>
      </c>
      <c r="B174" s="1" t="str">
        <f t="shared" si="5"/>
        <v>c</v>
      </c>
      <c r="C174" s="1">
        <v>1</v>
      </c>
      <c r="D174" s="1">
        <v>0</v>
      </c>
      <c r="E174" s="1">
        <v>0</v>
      </c>
      <c r="F174" s="1">
        <v>0</v>
      </c>
      <c r="G174" s="1">
        <v>0</v>
      </c>
      <c r="H174" s="1">
        <v>5.5849000000000002</v>
      </c>
      <c r="I174" s="1">
        <v>1388.4005999999999</v>
      </c>
      <c r="J174" s="1">
        <v>0</v>
      </c>
      <c r="K174" s="3">
        <v>0</v>
      </c>
    </row>
    <row r="175" spans="1:11" x14ac:dyDescent="0.25">
      <c r="A175" s="1">
        <f t="shared" si="4"/>
        <v>35</v>
      </c>
      <c r="B175" s="1" t="str">
        <f t="shared" si="5"/>
        <v>d</v>
      </c>
      <c r="C175" s="1">
        <v>30</v>
      </c>
      <c r="D175" s="2">
        <v>0.16159999999999999</v>
      </c>
      <c r="E175" s="1">
        <v>43.7333</v>
      </c>
      <c r="F175" s="1">
        <v>1</v>
      </c>
      <c r="G175" s="1">
        <v>104</v>
      </c>
      <c r="H175" s="1">
        <v>7.4915000000000003</v>
      </c>
      <c r="I175" s="1">
        <v>718.7287</v>
      </c>
      <c r="J175" s="1">
        <v>0</v>
      </c>
      <c r="K175" s="3">
        <v>0</v>
      </c>
    </row>
    <row r="176" spans="1:11" x14ac:dyDescent="0.25">
      <c r="A176" s="1">
        <f t="shared" si="4"/>
        <v>35</v>
      </c>
      <c r="B176" s="1" t="str">
        <f t="shared" si="5"/>
        <v>e</v>
      </c>
      <c r="C176" s="1">
        <v>1</v>
      </c>
      <c r="D176" s="2">
        <v>0.77780000000000005</v>
      </c>
      <c r="E176" s="1">
        <v>18</v>
      </c>
      <c r="F176" s="1">
        <v>4</v>
      </c>
      <c r="G176" s="1">
        <v>202</v>
      </c>
      <c r="H176" s="1">
        <v>116.54389999999999</v>
      </c>
      <c r="I176" s="1">
        <v>692.74990000000003</v>
      </c>
      <c r="J176" s="1">
        <v>0</v>
      </c>
      <c r="K176" s="3">
        <v>0</v>
      </c>
    </row>
  </sheetData>
  <autoFilter ref="A1:K176" xr:uid="{D1776E2C-9064-4DCD-B806-928B93058B06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AA8B6-EC87-47F1-8959-FD6EB5E678EB}">
  <sheetPr>
    <tabColor rgb="FF00B0F0"/>
  </sheetPr>
  <dimension ref="A1:O32"/>
  <sheetViews>
    <sheetView workbookViewId="0">
      <selection activeCell="M1" sqref="M1:M1048576"/>
    </sheetView>
  </sheetViews>
  <sheetFormatPr defaultRowHeight="15" x14ac:dyDescent="0.25"/>
  <cols>
    <col min="1" max="1" width="4.5703125" bestFit="1" customWidth="1"/>
    <col min="2" max="2" width="18.85546875" bestFit="1" customWidth="1"/>
    <col min="3" max="3" width="16.28515625" bestFit="1" customWidth="1"/>
    <col min="4" max="4" width="39.85546875" bestFit="1" customWidth="1"/>
    <col min="5" max="5" width="17" bestFit="1" customWidth="1"/>
    <col min="6" max="6" width="9.5703125" bestFit="1" customWidth="1"/>
    <col min="7" max="7" width="9.42578125" bestFit="1" customWidth="1"/>
    <col min="8" max="8" width="9.85546875" bestFit="1" customWidth="1"/>
    <col min="9" max="9" width="41.28515625" bestFit="1" customWidth="1"/>
    <col min="10" max="10" width="41.5703125" bestFit="1" customWidth="1"/>
    <col min="11" max="11" width="42.140625" bestFit="1" customWidth="1"/>
    <col min="12" max="13" width="20.7109375" bestFit="1" customWidth="1"/>
  </cols>
  <sheetData>
    <row r="1" spans="1:15" x14ac:dyDescent="0.25">
      <c r="A1" s="6" t="s">
        <v>7</v>
      </c>
      <c r="B1" s="6" t="s">
        <v>13</v>
      </c>
      <c r="C1" s="6" t="s">
        <v>21</v>
      </c>
      <c r="D1" s="6" t="s">
        <v>22</v>
      </c>
      <c r="E1" s="6" t="s">
        <v>20</v>
      </c>
      <c r="F1" s="6" t="s">
        <v>9</v>
      </c>
      <c r="G1" s="6" t="s">
        <v>10</v>
      </c>
      <c r="H1" s="6" t="s">
        <v>11</v>
      </c>
      <c r="I1" s="6" t="s">
        <v>17</v>
      </c>
      <c r="J1" s="6" t="s">
        <v>18</v>
      </c>
      <c r="K1" s="6" t="s">
        <v>19</v>
      </c>
      <c r="L1" s="6" t="s">
        <v>29</v>
      </c>
      <c r="M1" s="6" t="s">
        <v>23</v>
      </c>
    </row>
    <row r="2" spans="1:15" x14ac:dyDescent="0.25">
      <c r="A2" s="1">
        <v>1</v>
      </c>
      <c r="B2" s="1">
        <v>12</v>
      </c>
      <c r="C2" s="7">
        <v>1.6999999999999999E-3</v>
      </c>
      <c r="D2" s="7">
        <v>4.6499999999999996E-3</v>
      </c>
      <c r="E2" s="7">
        <v>1.0999999999999999E-2</v>
      </c>
      <c r="F2" s="1">
        <v>38</v>
      </c>
      <c r="G2" s="1">
        <v>44.51</v>
      </c>
      <c r="H2" s="1">
        <v>53</v>
      </c>
      <c r="I2" s="11">
        <v>0.1</v>
      </c>
      <c r="J2" s="11">
        <v>0.16520000000000001</v>
      </c>
      <c r="K2" s="11">
        <v>0.2326</v>
      </c>
      <c r="L2" s="1">
        <v>6.6989999999999998</v>
      </c>
      <c r="M2" s="1">
        <v>2883.6849999999999</v>
      </c>
      <c r="O2" s="13"/>
    </row>
    <row r="3" spans="1:15" x14ac:dyDescent="0.25">
      <c r="A3" s="1">
        <v>2</v>
      </c>
      <c r="B3" s="1">
        <v>7</v>
      </c>
      <c r="C3" s="7">
        <v>2E-3</v>
      </c>
      <c r="D3" s="7">
        <v>4.9300000000000004E-3</v>
      </c>
      <c r="E3" s="7">
        <v>8.8000000000000005E-3</v>
      </c>
      <c r="F3" s="1">
        <v>36</v>
      </c>
      <c r="G3" s="1">
        <v>43.6</v>
      </c>
      <c r="H3" s="1">
        <v>53</v>
      </c>
      <c r="I3" s="11">
        <v>9.7600000000000006E-2</v>
      </c>
      <c r="J3" s="11">
        <v>0.17269999999999999</v>
      </c>
      <c r="K3" s="11">
        <v>0.24390000000000001</v>
      </c>
      <c r="L3" s="1">
        <v>7.6079999999999997</v>
      </c>
      <c r="M3" s="1">
        <v>2408.2379999999998</v>
      </c>
      <c r="O3" s="13"/>
    </row>
    <row r="4" spans="1:15" x14ac:dyDescent="0.25">
      <c r="A4" s="1">
        <v>3</v>
      </c>
      <c r="B4" s="1">
        <v>9</v>
      </c>
      <c r="C4" s="7">
        <v>1.6999999999999999E-3</v>
      </c>
      <c r="D4" s="7">
        <v>4.7699999999999999E-3</v>
      </c>
      <c r="E4" s="7">
        <v>1.04E-2</v>
      </c>
      <c r="F4" s="1">
        <v>32</v>
      </c>
      <c r="G4" s="1">
        <v>42.57</v>
      </c>
      <c r="H4" s="1">
        <v>51</v>
      </c>
      <c r="I4" s="11">
        <v>7.3200000000000001E-2</v>
      </c>
      <c r="J4" s="11">
        <v>0.16139999999999999</v>
      </c>
      <c r="K4" s="11">
        <v>0.24390000000000001</v>
      </c>
      <c r="L4" s="1">
        <v>6.9630000000000001</v>
      </c>
      <c r="M4" s="1">
        <v>2254.6550000000002</v>
      </c>
      <c r="O4" s="13"/>
    </row>
    <row r="5" spans="1:15" x14ac:dyDescent="0.25">
      <c r="A5" s="1">
        <v>4</v>
      </c>
      <c r="B5" s="1">
        <v>9</v>
      </c>
      <c r="C5" s="7">
        <v>1.6999999999999999E-3</v>
      </c>
      <c r="D5" s="7">
        <v>4.3899999999999998E-3</v>
      </c>
      <c r="E5" s="7">
        <v>1.06E-2</v>
      </c>
      <c r="F5" s="1">
        <v>39</v>
      </c>
      <c r="G5" s="1">
        <v>44.2</v>
      </c>
      <c r="H5" s="1">
        <v>52</v>
      </c>
      <c r="I5" s="11">
        <v>0.1042</v>
      </c>
      <c r="J5" s="11">
        <v>0.1668</v>
      </c>
      <c r="K5" s="11">
        <v>0.26669999999999999</v>
      </c>
      <c r="L5" s="1">
        <v>6.9969999999999999</v>
      </c>
      <c r="M5" s="1">
        <v>2627.4070000000002</v>
      </c>
      <c r="O5" s="13"/>
    </row>
    <row r="6" spans="1:15" x14ac:dyDescent="0.25">
      <c r="A6" s="1">
        <v>5</v>
      </c>
      <c r="B6" s="1">
        <v>11</v>
      </c>
      <c r="C6" s="7">
        <v>1.1999999999999999E-3</v>
      </c>
      <c r="D6" s="7">
        <v>4.7400000000000003E-3</v>
      </c>
      <c r="E6" s="7">
        <v>1.0999999999999999E-2</v>
      </c>
      <c r="F6" s="1">
        <v>32</v>
      </c>
      <c r="G6" s="1">
        <v>43.11</v>
      </c>
      <c r="H6" s="1">
        <v>52</v>
      </c>
      <c r="I6" s="11">
        <v>6.8199999999999997E-2</v>
      </c>
      <c r="J6" s="11">
        <v>0.14580000000000001</v>
      </c>
      <c r="K6" s="11">
        <v>0.22500000000000001</v>
      </c>
      <c r="L6" s="1">
        <v>7.3689999999999998</v>
      </c>
      <c r="M6" s="1">
        <v>2837.0659999999998</v>
      </c>
      <c r="O6" s="13"/>
    </row>
    <row r="7" spans="1:15" x14ac:dyDescent="0.25">
      <c r="A7" s="1">
        <v>6</v>
      </c>
      <c r="B7" s="1">
        <v>13</v>
      </c>
      <c r="C7" s="7">
        <v>1.8E-3</v>
      </c>
      <c r="D7" s="7">
        <v>4.6899999999999997E-3</v>
      </c>
      <c r="E7" s="7">
        <v>1.0699999999999999E-2</v>
      </c>
      <c r="F7" s="1">
        <v>35</v>
      </c>
      <c r="G7" s="1">
        <v>43.09</v>
      </c>
      <c r="H7" s="1">
        <v>52</v>
      </c>
      <c r="I7" s="11">
        <v>9.5200000000000007E-2</v>
      </c>
      <c r="J7" s="11">
        <v>0.159</v>
      </c>
      <c r="K7" s="11">
        <v>0.23910000000000001</v>
      </c>
      <c r="L7" s="1">
        <v>7.1379999999999999</v>
      </c>
      <c r="M7" s="1">
        <v>2950.0419999999999</v>
      </c>
      <c r="O7" s="13"/>
    </row>
    <row r="8" spans="1:15" x14ac:dyDescent="0.25">
      <c r="A8" s="1">
        <v>7</v>
      </c>
      <c r="B8" s="1">
        <v>13</v>
      </c>
      <c r="C8" s="7">
        <v>1.1999999999999999E-3</v>
      </c>
      <c r="D8" s="7">
        <v>3.8E-3</v>
      </c>
      <c r="E8" s="7">
        <v>8.9999999999999993E-3</v>
      </c>
      <c r="F8" s="1">
        <v>36</v>
      </c>
      <c r="G8" s="1">
        <v>43.23</v>
      </c>
      <c r="H8" s="1">
        <v>49</v>
      </c>
      <c r="I8" s="11">
        <v>6.9800000000000001E-2</v>
      </c>
      <c r="J8" s="11">
        <v>0.15629999999999999</v>
      </c>
      <c r="K8" s="11">
        <v>0.23400000000000001</v>
      </c>
      <c r="L8" s="1">
        <v>6.9720000000000004</v>
      </c>
      <c r="M8" s="1">
        <v>3119.538</v>
      </c>
      <c r="O8" s="13"/>
    </row>
    <row r="9" spans="1:15" x14ac:dyDescent="0.25">
      <c r="A9" s="1">
        <v>8</v>
      </c>
      <c r="B9" s="1">
        <v>12</v>
      </c>
      <c r="C9" s="7">
        <v>1.6999999999999999E-3</v>
      </c>
      <c r="D9" s="7">
        <v>4.5100000000000001E-3</v>
      </c>
      <c r="E9" s="7">
        <v>1.0999999999999999E-2</v>
      </c>
      <c r="F9" s="1">
        <v>35</v>
      </c>
      <c r="G9" s="1">
        <v>43.49</v>
      </c>
      <c r="H9" s="1">
        <v>50</v>
      </c>
      <c r="I9" s="11">
        <v>9.0899999999999995E-2</v>
      </c>
      <c r="J9" s="11">
        <v>0.1575</v>
      </c>
      <c r="K9" s="11">
        <v>0.23400000000000001</v>
      </c>
      <c r="L9" s="1">
        <v>8.3490000000000002</v>
      </c>
      <c r="M9" s="1">
        <v>2953.1550000000002</v>
      </c>
    </row>
    <row r="10" spans="1:15" x14ac:dyDescent="0.25">
      <c r="A10" s="1">
        <v>9</v>
      </c>
      <c r="B10" s="1">
        <v>12</v>
      </c>
      <c r="C10" s="7">
        <v>1.6999999999999999E-3</v>
      </c>
      <c r="D10" s="7">
        <v>4.3499999999999997E-3</v>
      </c>
      <c r="E10" s="7">
        <v>1.14E-2</v>
      </c>
      <c r="F10" s="1">
        <v>35</v>
      </c>
      <c r="G10" s="1">
        <v>44.26</v>
      </c>
      <c r="H10" s="1">
        <v>54</v>
      </c>
      <c r="I10" s="11">
        <v>8.3299999999999999E-2</v>
      </c>
      <c r="J10" s="11">
        <v>0.15490000000000001</v>
      </c>
      <c r="K10" s="11">
        <v>0.21049999999999999</v>
      </c>
      <c r="L10" s="1">
        <v>9.1069999999999993</v>
      </c>
      <c r="M10" s="1">
        <v>3005.415</v>
      </c>
    </row>
    <row r="11" spans="1:15" x14ac:dyDescent="0.25">
      <c r="A11" s="1">
        <v>10</v>
      </c>
      <c r="B11" s="1">
        <v>12</v>
      </c>
      <c r="C11" s="7">
        <v>1.2999999999999999E-3</v>
      </c>
      <c r="D11" s="7">
        <v>5.0800000000000003E-3</v>
      </c>
      <c r="E11" s="7">
        <v>1.15E-2</v>
      </c>
      <c r="F11" s="1">
        <v>30</v>
      </c>
      <c r="G11" s="1">
        <v>42.6</v>
      </c>
      <c r="H11" s="1">
        <v>53</v>
      </c>
      <c r="I11" s="11">
        <v>7.3200000000000001E-2</v>
      </c>
      <c r="J11" s="11">
        <v>0.1588</v>
      </c>
      <c r="K11" s="11">
        <v>0.23680000000000001</v>
      </c>
      <c r="L11" s="1">
        <v>7.218</v>
      </c>
      <c r="M11" s="1">
        <v>2893.8530000000001</v>
      </c>
    </row>
    <row r="12" spans="1:15" x14ac:dyDescent="0.25">
      <c r="A12" s="1">
        <v>11</v>
      </c>
      <c r="B12" s="1">
        <v>10</v>
      </c>
      <c r="C12" s="7">
        <v>1.6000000000000001E-3</v>
      </c>
      <c r="D12" s="7">
        <v>4.5500000000000002E-3</v>
      </c>
      <c r="E12" s="7">
        <v>1.14E-2</v>
      </c>
      <c r="F12" s="1">
        <v>39</v>
      </c>
      <c r="G12" s="1">
        <v>44.66</v>
      </c>
      <c r="H12" s="1">
        <v>54</v>
      </c>
      <c r="I12" s="11">
        <v>4.5499999999999999E-2</v>
      </c>
      <c r="J12" s="11">
        <v>0.1489</v>
      </c>
      <c r="K12" s="11">
        <v>0.2195</v>
      </c>
      <c r="L12" s="1">
        <v>8.2420000000000009</v>
      </c>
      <c r="M12" s="1">
        <v>2821.797</v>
      </c>
    </row>
    <row r="13" spans="1:15" x14ac:dyDescent="0.25">
      <c r="A13" s="1">
        <v>12</v>
      </c>
      <c r="B13" s="1">
        <v>14</v>
      </c>
      <c r="C13" s="7">
        <v>1.2999999999999999E-3</v>
      </c>
      <c r="D13" s="7">
        <v>5.5399999999999998E-3</v>
      </c>
      <c r="E13" s="7">
        <v>1.2500000000000001E-2</v>
      </c>
      <c r="F13" s="1">
        <v>38</v>
      </c>
      <c r="G13" s="1">
        <v>44.03</v>
      </c>
      <c r="H13" s="1">
        <v>52</v>
      </c>
      <c r="I13" s="11">
        <v>8.8900000000000007E-2</v>
      </c>
      <c r="J13" s="11">
        <v>0.14729999999999999</v>
      </c>
      <c r="K13" s="11">
        <v>0.23400000000000001</v>
      </c>
      <c r="L13" s="1">
        <v>8.8290000000000006</v>
      </c>
      <c r="M13" s="1">
        <v>3486.4319999999998</v>
      </c>
    </row>
    <row r="14" spans="1:15" x14ac:dyDescent="0.25">
      <c r="A14" s="1">
        <v>13</v>
      </c>
      <c r="B14" s="1">
        <v>11</v>
      </c>
      <c r="C14" s="7">
        <v>1.4E-3</v>
      </c>
      <c r="D14" s="7">
        <v>4.1000000000000003E-3</v>
      </c>
      <c r="E14" s="7">
        <v>1.09E-2</v>
      </c>
      <c r="F14" s="1">
        <v>34</v>
      </c>
      <c r="G14" s="1">
        <v>43.34</v>
      </c>
      <c r="H14" s="1">
        <v>50</v>
      </c>
      <c r="I14" s="11">
        <v>9.0899999999999995E-2</v>
      </c>
      <c r="J14" s="11">
        <v>0.1671</v>
      </c>
      <c r="K14" s="11">
        <v>0.28260000000000002</v>
      </c>
      <c r="L14" s="1">
        <v>7.774</v>
      </c>
      <c r="M14" s="1">
        <v>2877.636</v>
      </c>
    </row>
    <row r="15" spans="1:15" x14ac:dyDescent="0.25">
      <c r="A15" s="1">
        <v>14</v>
      </c>
      <c r="B15" s="1">
        <v>11</v>
      </c>
      <c r="C15" s="7">
        <v>1.1000000000000001E-3</v>
      </c>
      <c r="D15" s="7">
        <v>4.4200000000000003E-3</v>
      </c>
      <c r="E15" s="7">
        <v>1.0699999999999999E-2</v>
      </c>
      <c r="F15" s="1">
        <v>30</v>
      </c>
      <c r="G15" s="1">
        <v>43.06</v>
      </c>
      <c r="H15" s="1">
        <v>53</v>
      </c>
      <c r="I15" s="11">
        <v>0.10199999999999999</v>
      </c>
      <c r="J15" s="11">
        <v>0.18090000000000001</v>
      </c>
      <c r="K15" s="11">
        <v>0.25</v>
      </c>
      <c r="L15" s="1">
        <v>7.1429999999999998</v>
      </c>
      <c r="M15" s="1">
        <v>2851.5410000000002</v>
      </c>
    </row>
    <row r="16" spans="1:15" x14ac:dyDescent="0.25">
      <c r="A16" s="1">
        <v>15</v>
      </c>
      <c r="B16" s="1">
        <v>13</v>
      </c>
      <c r="C16" s="7">
        <v>1.6999999999999999E-3</v>
      </c>
      <c r="D16" s="7">
        <v>4.3400000000000001E-3</v>
      </c>
      <c r="E16" s="7">
        <v>1.04E-2</v>
      </c>
      <c r="F16" s="1">
        <v>35</v>
      </c>
      <c r="G16" s="1">
        <v>43.34</v>
      </c>
      <c r="H16" s="1">
        <v>50</v>
      </c>
      <c r="I16" s="11">
        <v>6.6699999999999995E-2</v>
      </c>
      <c r="J16" s="11">
        <v>0.17469999999999999</v>
      </c>
      <c r="K16" s="11">
        <v>0.2571</v>
      </c>
      <c r="L16" s="1">
        <v>7.4969999999999999</v>
      </c>
      <c r="M16" s="1">
        <v>3335.951</v>
      </c>
    </row>
    <row r="17" spans="1:13" x14ac:dyDescent="0.25">
      <c r="A17" s="1">
        <v>16</v>
      </c>
      <c r="B17" s="1">
        <v>10</v>
      </c>
      <c r="C17" s="7">
        <v>1.6000000000000001E-3</v>
      </c>
      <c r="D17" s="7">
        <v>4.8900000000000002E-3</v>
      </c>
      <c r="E17" s="7">
        <v>1.0999999999999999E-2</v>
      </c>
      <c r="F17" s="1">
        <v>32</v>
      </c>
      <c r="G17" s="1">
        <v>45.03</v>
      </c>
      <c r="H17" s="1">
        <v>52</v>
      </c>
      <c r="I17" s="11">
        <v>8.9099999999999999E-2</v>
      </c>
      <c r="J17" s="11">
        <v>0.1837</v>
      </c>
      <c r="K17" s="11">
        <v>0.22140000000000001</v>
      </c>
      <c r="L17" s="1">
        <v>7.3460000000000001</v>
      </c>
      <c r="M17" s="1">
        <v>2597.8710000000001</v>
      </c>
    </row>
    <row r="18" spans="1:13" x14ac:dyDescent="0.25">
      <c r="A18" s="1">
        <v>17</v>
      </c>
      <c r="B18" s="1">
        <v>7</v>
      </c>
      <c r="C18" s="7">
        <v>2.5000000000000001E-3</v>
      </c>
      <c r="D18" s="7">
        <v>5.11E-3</v>
      </c>
      <c r="E18" s="7">
        <v>1.0699999999999999E-2</v>
      </c>
      <c r="F18" s="1">
        <v>37</v>
      </c>
      <c r="G18" s="1">
        <v>45.43</v>
      </c>
      <c r="H18" s="1">
        <v>54</v>
      </c>
      <c r="I18" s="11">
        <v>7.51E-2</v>
      </c>
      <c r="J18" s="11">
        <v>0.125</v>
      </c>
      <c r="K18" s="11">
        <v>0.25430000000000003</v>
      </c>
      <c r="L18" s="1">
        <v>6.9489999999999998</v>
      </c>
      <c r="M18" s="1">
        <v>2221.268</v>
      </c>
    </row>
    <row r="19" spans="1:13" x14ac:dyDescent="0.25">
      <c r="A19" s="1">
        <v>18</v>
      </c>
      <c r="B19" s="1">
        <v>11</v>
      </c>
      <c r="C19" s="7">
        <v>1.1999999999999999E-3</v>
      </c>
      <c r="D19" s="7">
        <v>4.7299999999999998E-3</v>
      </c>
      <c r="E19" s="7">
        <v>1.11E-2</v>
      </c>
      <c r="F19" s="1">
        <v>36</v>
      </c>
      <c r="G19" s="1">
        <v>44</v>
      </c>
      <c r="H19" s="1">
        <v>58</v>
      </c>
      <c r="I19" s="11">
        <v>9.4100000000000003E-2</v>
      </c>
      <c r="J19" s="11">
        <v>0.13059999999999999</v>
      </c>
      <c r="K19" s="11">
        <v>0.27910000000000001</v>
      </c>
      <c r="L19" s="1">
        <v>6.9850000000000003</v>
      </c>
      <c r="M19" s="1">
        <v>2674.585</v>
      </c>
    </row>
    <row r="20" spans="1:13" x14ac:dyDescent="0.25">
      <c r="A20" s="1">
        <v>19</v>
      </c>
      <c r="B20" s="1">
        <v>12</v>
      </c>
      <c r="C20" s="7">
        <v>1.1999999999999999E-3</v>
      </c>
      <c r="D20" s="7">
        <v>4.8300000000000001E-3</v>
      </c>
      <c r="E20" s="7">
        <v>1.0800000000000001E-2</v>
      </c>
      <c r="F20" s="1">
        <v>36</v>
      </c>
      <c r="G20" s="1">
        <v>43.37</v>
      </c>
      <c r="H20" s="1">
        <v>50</v>
      </c>
      <c r="I20" s="11">
        <v>6.8400000000000002E-2</v>
      </c>
      <c r="J20" s="11">
        <v>0.1242</v>
      </c>
      <c r="K20" s="11">
        <v>0.22600000000000001</v>
      </c>
      <c r="L20" s="1">
        <v>6.7590000000000003</v>
      </c>
      <c r="M20" s="1">
        <v>2826.0329999999999</v>
      </c>
    </row>
    <row r="21" spans="1:13" x14ac:dyDescent="0.25">
      <c r="A21" s="1">
        <v>20</v>
      </c>
      <c r="B21" s="1">
        <v>11</v>
      </c>
      <c r="C21" s="7">
        <v>1.8E-3</v>
      </c>
      <c r="D21" s="7">
        <v>5.2199999999999998E-3</v>
      </c>
      <c r="E21" s="7">
        <v>1.04E-2</v>
      </c>
      <c r="F21" s="1">
        <v>34</v>
      </c>
      <c r="G21" s="1">
        <v>44.11</v>
      </c>
      <c r="H21" s="1">
        <v>54</v>
      </c>
      <c r="I21" s="11">
        <v>9.2899999999999996E-2</v>
      </c>
      <c r="J21" s="11">
        <v>0.19139999999999999</v>
      </c>
      <c r="K21" s="11">
        <v>0.2402</v>
      </c>
      <c r="L21" s="1">
        <v>6.8689999999999998</v>
      </c>
      <c r="M21" s="1">
        <v>2791.085</v>
      </c>
    </row>
    <row r="22" spans="1:13" x14ac:dyDescent="0.25">
      <c r="A22" s="1">
        <v>21</v>
      </c>
      <c r="B22" s="1">
        <v>10</v>
      </c>
      <c r="C22" s="7">
        <v>1.6999999999999999E-3</v>
      </c>
      <c r="D22" s="7">
        <v>4.1000000000000003E-3</v>
      </c>
      <c r="E22" s="7">
        <v>1.06E-2</v>
      </c>
      <c r="F22" s="1">
        <v>35</v>
      </c>
      <c r="G22" s="1">
        <v>44.94</v>
      </c>
      <c r="H22" s="1">
        <v>52</v>
      </c>
      <c r="I22" s="11">
        <v>9.5600000000000004E-2</v>
      </c>
      <c r="J22" s="11">
        <v>0.16839999999999999</v>
      </c>
      <c r="K22" s="11">
        <v>0.29680000000000001</v>
      </c>
      <c r="L22" s="1">
        <v>7.3659999999999997</v>
      </c>
      <c r="M22" s="1">
        <v>2619.7089999999998</v>
      </c>
    </row>
    <row r="23" spans="1:13" x14ac:dyDescent="0.25">
      <c r="A23" s="1">
        <v>22</v>
      </c>
      <c r="B23" s="1">
        <v>14</v>
      </c>
      <c r="C23" s="7">
        <v>1.1999999999999999E-3</v>
      </c>
      <c r="D23" s="7">
        <v>4.79E-3</v>
      </c>
      <c r="E23" s="7">
        <v>1.0999999999999999E-2</v>
      </c>
      <c r="F23" s="1">
        <v>33</v>
      </c>
      <c r="G23" s="1">
        <v>43.34</v>
      </c>
      <c r="H23" s="1">
        <v>52</v>
      </c>
      <c r="I23" s="11">
        <v>7.5999999999999998E-2</v>
      </c>
      <c r="J23" s="11">
        <v>0.19750000000000001</v>
      </c>
      <c r="K23" s="11">
        <v>0.1961</v>
      </c>
      <c r="L23" s="1">
        <v>7.2930000000000001</v>
      </c>
      <c r="M23" s="1">
        <v>3391.636</v>
      </c>
    </row>
    <row r="24" spans="1:13" x14ac:dyDescent="0.25">
      <c r="A24" s="1">
        <v>23</v>
      </c>
      <c r="B24" s="1">
        <v>10</v>
      </c>
      <c r="C24" s="7">
        <v>1.6000000000000001E-3</v>
      </c>
      <c r="D24" s="7">
        <v>4.5500000000000002E-3</v>
      </c>
      <c r="E24" s="7">
        <v>1.14E-2</v>
      </c>
      <c r="F24" s="1">
        <v>39</v>
      </c>
      <c r="G24" s="1">
        <v>44.66</v>
      </c>
      <c r="H24" s="1">
        <v>54</v>
      </c>
      <c r="I24" s="11">
        <v>7.7299999999999994E-2</v>
      </c>
      <c r="J24" s="11">
        <v>0.13339999999999999</v>
      </c>
      <c r="K24" s="11">
        <v>0.26440000000000002</v>
      </c>
      <c r="L24" s="1">
        <v>8.2420000000000009</v>
      </c>
      <c r="M24" s="1">
        <v>2821.797</v>
      </c>
    </row>
    <row r="25" spans="1:13" x14ac:dyDescent="0.25">
      <c r="A25" s="1">
        <v>24</v>
      </c>
      <c r="B25" s="1">
        <v>13</v>
      </c>
      <c r="C25" s="7">
        <v>1.1000000000000001E-3</v>
      </c>
      <c r="D25" s="7">
        <v>3.9399999999999999E-3</v>
      </c>
      <c r="E25" s="7">
        <v>1.06E-2</v>
      </c>
      <c r="F25" s="1">
        <v>35</v>
      </c>
      <c r="G25" s="1">
        <v>43.97</v>
      </c>
      <c r="H25" s="1">
        <v>55</v>
      </c>
      <c r="I25" s="11">
        <v>6.1800000000000001E-2</v>
      </c>
      <c r="J25" s="11">
        <v>0.1225</v>
      </c>
      <c r="K25" s="11">
        <v>0.20549999999999999</v>
      </c>
      <c r="L25" s="1">
        <v>7.5090000000000003</v>
      </c>
      <c r="M25" s="1">
        <v>3097.893</v>
      </c>
    </row>
    <row r="26" spans="1:13" x14ac:dyDescent="0.25">
      <c r="A26" s="1">
        <v>25</v>
      </c>
      <c r="B26" s="1">
        <v>11</v>
      </c>
      <c r="C26" s="7">
        <v>2.8E-3</v>
      </c>
      <c r="D26" s="7">
        <v>5.47E-3</v>
      </c>
      <c r="E26" s="7">
        <v>1.1299999999999999E-2</v>
      </c>
      <c r="F26" s="1">
        <v>34</v>
      </c>
      <c r="G26" s="1">
        <v>44.8</v>
      </c>
      <c r="H26" s="1">
        <v>56</v>
      </c>
      <c r="I26" s="11">
        <v>8.14E-2</v>
      </c>
      <c r="J26" s="11">
        <v>0.16950000000000001</v>
      </c>
      <c r="K26" s="11">
        <v>0.27150000000000002</v>
      </c>
      <c r="L26" s="1">
        <v>9.5120000000000005</v>
      </c>
      <c r="M26" s="1">
        <v>2845.8240000000001</v>
      </c>
    </row>
    <row r="27" spans="1:13" x14ac:dyDescent="0.25">
      <c r="A27" s="1">
        <v>26</v>
      </c>
      <c r="B27" s="1">
        <v>12</v>
      </c>
      <c r="C27" s="7">
        <v>2E-3</v>
      </c>
      <c r="D27" s="7">
        <v>5.2900000000000004E-3</v>
      </c>
      <c r="E27" s="7">
        <v>1.4E-2</v>
      </c>
      <c r="F27" s="1">
        <v>33</v>
      </c>
      <c r="G27" s="1">
        <v>43.49</v>
      </c>
      <c r="H27" s="1">
        <v>50</v>
      </c>
      <c r="I27" s="11">
        <v>6.6699999999999995E-2</v>
      </c>
      <c r="J27" s="11">
        <v>0.19550000000000001</v>
      </c>
      <c r="K27" s="11">
        <v>0.20749999999999999</v>
      </c>
      <c r="L27" s="1">
        <v>6.6959999999999997</v>
      </c>
      <c r="M27" s="1">
        <v>3075.692</v>
      </c>
    </row>
    <row r="28" spans="1:13" x14ac:dyDescent="0.25">
      <c r="A28" s="1">
        <v>27</v>
      </c>
      <c r="B28" s="1">
        <v>9</v>
      </c>
      <c r="C28" s="7">
        <v>1.8E-3</v>
      </c>
      <c r="D28" s="7">
        <v>4.96E-3</v>
      </c>
      <c r="E28" s="7">
        <v>1.15E-2</v>
      </c>
      <c r="F28" s="1">
        <v>36</v>
      </c>
      <c r="G28" s="1">
        <v>44.46</v>
      </c>
      <c r="H28" s="1">
        <v>53</v>
      </c>
      <c r="I28" s="11">
        <v>0.1014</v>
      </c>
      <c r="J28" s="11">
        <v>0.156</v>
      </c>
      <c r="K28" s="11">
        <v>0.21909999999999999</v>
      </c>
      <c r="L28" s="1">
        <v>6.8529999999999998</v>
      </c>
      <c r="M28" s="1">
        <v>2408.2359999999999</v>
      </c>
    </row>
    <row r="29" spans="1:13" x14ac:dyDescent="0.25">
      <c r="A29" s="1">
        <v>28</v>
      </c>
      <c r="B29" s="1">
        <v>12</v>
      </c>
      <c r="C29" s="7">
        <v>2.3E-3</v>
      </c>
      <c r="D29" s="7">
        <v>5.4599999999999996E-3</v>
      </c>
      <c r="E29" s="7">
        <v>1.15E-2</v>
      </c>
      <c r="F29" s="1">
        <v>36</v>
      </c>
      <c r="G29" s="1">
        <v>42.57</v>
      </c>
      <c r="H29" s="1">
        <v>51</v>
      </c>
      <c r="I29" s="11">
        <v>0.1016</v>
      </c>
      <c r="J29" s="11">
        <v>0.19009999999999999</v>
      </c>
      <c r="K29" s="11">
        <v>0.2747</v>
      </c>
      <c r="L29" s="1">
        <v>7.5369999999999999</v>
      </c>
      <c r="M29" s="1">
        <v>2999.123</v>
      </c>
    </row>
    <row r="30" spans="1:13" x14ac:dyDescent="0.25">
      <c r="A30" s="1">
        <v>29</v>
      </c>
      <c r="B30" s="1">
        <v>12</v>
      </c>
      <c r="C30" s="7">
        <v>1.8E-3</v>
      </c>
      <c r="D30" s="7">
        <v>4.6699999999999997E-3</v>
      </c>
      <c r="E30" s="7">
        <v>1.0699999999999999E-2</v>
      </c>
      <c r="F30" s="1">
        <v>35</v>
      </c>
      <c r="G30" s="1">
        <v>42.71</v>
      </c>
      <c r="H30" s="1">
        <v>51</v>
      </c>
      <c r="I30" s="11">
        <v>8.5900000000000004E-2</v>
      </c>
      <c r="J30" s="11">
        <v>0.18129999999999999</v>
      </c>
      <c r="K30" s="11">
        <v>0.2472</v>
      </c>
      <c r="L30" s="1">
        <v>7.2619999999999996</v>
      </c>
      <c r="M30" s="1">
        <v>2939.03</v>
      </c>
    </row>
    <row r="31" spans="1:13" x14ac:dyDescent="0.25">
      <c r="A31" s="5">
        <v>30</v>
      </c>
      <c r="B31" s="5">
        <v>11</v>
      </c>
      <c r="C31" s="8">
        <v>1.5E-3</v>
      </c>
      <c r="D31" s="8">
        <v>4.1700000000000001E-3</v>
      </c>
      <c r="E31" s="8">
        <v>1.09E-2</v>
      </c>
      <c r="F31" s="5">
        <v>34</v>
      </c>
      <c r="G31" s="5">
        <v>43.57</v>
      </c>
      <c r="H31" s="5">
        <v>52</v>
      </c>
      <c r="I31" s="12">
        <v>7.3200000000000001E-2</v>
      </c>
      <c r="J31" s="12">
        <v>0.1547</v>
      </c>
      <c r="K31" s="12">
        <v>0.2298</v>
      </c>
      <c r="L31" s="5">
        <v>6.9889999999999999</v>
      </c>
      <c r="M31" s="5">
        <v>3084.33</v>
      </c>
    </row>
    <row r="32" spans="1:13" x14ac:dyDescent="0.25">
      <c r="A32" s="4" t="s">
        <v>8</v>
      </c>
      <c r="B32" s="4">
        <f>ROUND(AVERAGE(B2:B31),1)</f>
        <v>11.1</v>
      </c>
      <c r="C32" s="9">
        <f>AVERAGE(C2:C31)</f>
        <v>1.64E-3</v>
      </c>
      <c r="D32" s="9">
        <f>AVERAGE(D2:D31)</f>
        <v>4.7013333333333343E-3</v>
      </c>
      <c r="E32" s="9">
        <f>AVERAGE(E2:E31)</f>
        <v>1.0959999999999999E-2</v>
      </c>
      <c r="F32" s="4">
        <f>ROUND(AVERAGE(F2:F31),1)</f>
        <v>35</v>
      </c>
      <c r="G32" s="4">
        <f>ROUND(AVERAGE(G2:G31),1)</f>
        <v>43.8</v>
      </c>
      <c r="H32" s="4">
        <f>ROUND(AVERAGE(H2:H31),1)</f>
        <v>52.4</v>
      </c>
      <c r="I32" s="10">
        <f>AVERAGE(I2:I31)</f>
        <v>8.3003333333333332E-2</v>
      </c>
      <c r="J32" s="10">
        <f>AVERAGE(J2:J31)</f>
        <v>0.16137000000000004</v>
      </c>
      <c r="K32" s="10">
        <f>AVERAGE(K2:K31)</f>
        <v>0.24144333333333332</v>
      </c>
      <c r="L32" s="4">
        <f>ROUND(AVERAGE(L2:L31),1)</f>
        <v>7.5</v>
      </c>
      <c r="M32" s="4">
        <f>ROUND(AVERAGE(M2:M31),1)</f>
        <v>2856.7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</vt:lpstr>
      <vt:lpstr>Approach (d)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Behnam Jabbari Marand</dc:creator>
  <cp:lastModifiedBy>Behnam Jabbari Marand</cp:lastModifiedBy>
  <dcterms:created xsi:type="dcterms:W3CDTF">2026-03-25T18:56:11Z</dcterms:created>
  <dcterms:modified xsi:type="dcterms:W3CDTF">2026-03-27T18:17:50Z</dcterms:modified>
</cp:coreProperties>
</file>